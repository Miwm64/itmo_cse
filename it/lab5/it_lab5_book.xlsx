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wm64/itmo/practice/tmp/it_lab5/"/>
    </mc:Choice>
  </mc:AlternateContent>
  <xr:revisionPtr revIDLastSave="0" documentId="13_ncr:1_{1FAEC68F-3BCF-2F4B-9E2C-8C5B36B1C35A}" xr6:coauthVersionLast="47" xr6:coauthVersionMax="47" xr10:uidLastSave="{00000000-0000-0000-0000-000000000000}"/>
  <bookViews>
    <workbookView xWindow="0" yWindow="740" windowWidth="29400" windowHeight="18380" xr2:uid="{246F2451-FE01-1742-8947-6E4D04C22A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3" i="1" l="1"/>
  <c r="P73" i="1"/>
  <c r="U73" i="1"/>
  <c r="K72" i="1"/>
  <c r="P72" i="1"/>
  <c r="U72" i="1"/>
  <c r="K55" i="1"/>
  <c r="P55" i="1"/>
  <c r="U55" i="1"/>
  <c r="K54" i="1"/>
  <c r="P54" i="1"/>
  <c r="U54" i="1"/>
  <c r="K46" i="1"/>
  <c r="P46" i="1"/>
  <c r="U46" i="1"/>
  <c r="K45" i="1"/>
  <c r="P45" i="1"/>
  <c r="U45" i="1"/>
  <c r="K37" i="1"/>
  <c r="P37" i="1"/>
  <c r="U37" i="1"/>
  <c r="K36" i="1"/>
  <c r="P36" i="1"/>
  <c r="U36" i="1"/>
  <c r="K64" i="1"/>
  <c r="P64" i="1"/>
  <c r="U64" i="1"/>
  <c r="K63" i="1"/>
  <c r="P63" i="1"/>
  <c r="U63" i="1"/>
  <c r="K28" i="1"/>
  <c r="P28" i="1"/>
  <c r="U28" i="1"/>
  <c r="K27" i="1"/>
  <c r="P27" i="1"/>
  <c r="U27" i="1"/>
  <c r="C5" i="1"/>
  <c r="AG19" i="1" s="1"/>
  <c r="C4" i="1"/>
  <c r="AG18" i="1" s="1"/>
  <c r="K19" i="1"/>
  <c r="P19" i="1"/>
  <c r="U19" i="1"/>
  <c r="K18" i="1"/>
  <c r="P18" i="1"/>
  <c r="U18" i="1"/>
  <c r="AG36" i="1" l="1"/>
  <c r="AG27" i="1"/>
  <c r="AG63" i="1"/>
  <c r="AG21" i="1"/>
  <c r="H2" i="1" l="1"/>
  <c r="I2" i="1"/>
  <c r="J2" i="1"/>
  <c r="L2" i="1"/>
  <c r="M2" i="1"/>
  <c r="N2" i="1"/>
  <c r="O2" i="1"/>
  <c r="Q2" i="1"/>
  <c r="R2" i="1"/>
  <c r="S2" i="1"/>
  <c r="T2" i="1"/>
  <c r="V2" i="1"/>
  <c r="W2" i="1"/>
  <c r="X2" i="1"/>
  <c r="Y2" i="1"/>
  <c r="G2" i="1"/>
  <c r="C8" i="1" l="1"/>
  <c r="C7" i="1"/>
  <c r="C6" i="1"/>
  <c r="C10" i="1"/>
  <c r="A1" i="1"/>
  <c r="AG73" i="1" l="1"/>
  <c r="AG28" i="1"/>
  <c r="D10" i="1"/>
  <c r="G10" i="1" s="1"/>
  <c r="AG37" i="1"/>
  <c r="AG39" i="1" s="1"/>
  <c r="AG45" i="1"/>
  <c r="C11" i="1"/>
  <c r="G5" i="1"/>
  <c r="C12" i="1"/>
  <c r="G6" i="1"/>
  <c r="C9" i="1"/>
  <c r="G7" i="1"/>
  <c r="H7" i="1"/>
  <c r="C13" i="1"/>
  <c r="D13" i="1" s="1"/>
  <c r="C14" i="1"/>
  <c r="G8" i="1"/>
  <c r="G4" i="1"/>
  <c r="G27" i="1" l="1"/>
  <c r="G36" i="1"/>
  <c r="D11" i="1"/>
  <c r="AG46" i="1"/>
  <c r="AG48" i="1" s="1"/>
  <c r="AG54" i="1"/>
  <c r="AG64" i="1"/>
  <c r="AG66" i="1" s="1"/>
  <c r="G37" i="1"/>
  <c r="G45" i="1"/>
  <c r="D14" i="1"/>
  <c r="AG72" i="1"/>
  <c r="AG75" i="1" s="1"/>
  <c r="G73" i="1"/>
  <c r="G28" i="1"/>
  <c r="D12" i="1"/>
  <c r="G12" i="1" s="1"/>
  <c r="G55" i="1" s="1"/>
  <c r="AG55" i="1"/>
  <c r="AG57" i="1" s="1"/>
  <c r="G18" i="1"/>
  <c r="G63" i="1"/>
  <c r="AG30" i="1"/>
  <c r="I7" i="1"/>
  <c r="J7" i="1" s="1"/>
  <c r="G14" i="1"/>
  <c r="G72" i="1" s="1"/>
  <c r="G19" i="1"/>
  <c r="H8" i="1"/>
  <c r="C15" i="1"/>
  <c r="D15" i="1" s="1"/>
  <c r="G9" i="1"/>
  <c r="H10" i="1"/>
  <c r="G13" i="1"/>
  <c r="H5" i="1"/>
  <c r="H4" i="1"/>
  <c r="H63" i="1" s="1"/>
  <c r="G11" i="1"/>
  <c r="H6" i="1"/>
  <c r="H36" i="1" l="1"/>
  <c r="H27" i="1"/>
  <c r="H11" i="1"/>
  <c r="G64" i="1"/>
  <c r="G46" i="1"/>
  <c r="G54" i="1"/>
  <c r="L7" i="1"/>
  <c r="M7" i="1" s="1"/>
  <c r="N7" i="1" s="1"/>
  <c r="I6" i="1"/>
  <c r="J6" i="1" s="1"/>
  <c r="H28" i="1"/>
  <c r="H73" i="1"/>
  <c r="H37" i="1"/>
  <c r="H45" i="1"/>
  <c r="H18" i="1"/>
  <c r="H19" i="1"/>
  <c r="I5" i="1"/>
  <c r="H9" i="1"/>
  <c r="H14" i="1"/>
  <c r="H72" i="1" s="1"/>
  <c r="H13" i="1"/>
  <c r="I10" i="1"/>
  <c r="I8" i="1"/>
  <c r="J8" i="1" s="1"/>
  <c r="G15" i="1"/>
  <c r="H15" i="1" s="1"/>
  <c r="H12" i="1"/>
  <c r="I4" i="1"/>
  <c r="I63" i="1" s="1"/>
  <c r="I27" i="1" l="1"/>
  <c r="I36" i="1"/>
  <c r="I11" i="1"/>
  <c r="H54" i="1"/>
  <c r="H46" i="1"/>
  <c r="H64" i="1"/>
  <c r="O7" i="1"/>
  <c r="Q7" i="1" s="1"/>
  <c r="R7" i="1" s="1"/>
  <c r="S7" i="1" s="1"/>
  <c r="I12" i="1"/>
  <c r="I55" i="1" s="1"/>
  <c r="H55" i="1"/>
  <c r="I37" i="1"/>
  <c r="I45" i="1"/>
  <c r="J73" i="1"/>
  <c r="J28" i="1"/>
  <c r="I28" i="1"/>
  <c r="I73" i="1"/>
  <c r="I15" i="1"/>
  <c r="J15" i="1" s="1"/>
  <c r="L8" i="1"/>
  <c r="M8" i="1" s="1"/>
  <c r="N8" i="1" s="1"/>
  <c r="O8" i="1" s="1"/>
  <c r="L15" i="1"/>
  <c r="J10" i="1"/>
  <c r="J4" i="1"/>
  <c r="J63" i="1" s="1"/>
  <c r="I18" i="1"/>
  <c r="J5" i="1"/>
  <c r="I19" i="1"/>
  <c r="L6" i="1"/>
  <c r="I9" i="1"/>
  <c r="J9" i="1"/>
  <c r="I14" i="1"/>
  <c r="I72" i="1" s="1"/>
  <c r="I13" i="1"/>
  <c r="J12" i="1" l="1"/>
  <c r="J55" i="1" s="1"/>
  <c r="M15" i="1"/>
  <c r="N15" i="1" s="1"/>
  <c r="J36" i="1"/>
  <c r="J27" i="1"/>
  <c r="I46" i="1"/>
  <c r="I64" i="1"/>
  <c r="I54" i="1"/>
  <c r="J11" i="1"/>
  <c r="J14" i="1"/>
  <c r="J72" i="1" s="1"/>
  <c r="L10" i="1"/>
  <c r="M10" i="1" s="1"/>
  <c r="J45" i="1"/>
  <c r="J37" i="1"/>
  <c r="L28" i="1"/>
  <c r="L73" i="1"/>
  <c r="T7" i="1"/>
  <c r="V7" i="1" s="1"/>
  <c r="W7" i="1" s="1"/>
  <c r="L12" i="1"/>
  <c r="J18" i="1"/>
  <c r="L4" i="1"/>
  <c r="M6" i="1"/>
  <c r="J19" i="1"/>
  <c r="L5" i="1"/>
  <c r="L9" i="1"/>
  <c r="J13" i="1"/>
  <c r="L13" i="1" s="1"/>
  <c r="O15" i="1"/>
  <c r="Q8" i="1"/>
  <c r="X7" i="1" l="1"/>
  <c r="Y7" i="1" s="1"/>
  <c r="L14" i="1"/>
  <c r="L19" i="1"/>
  <c r="L36" i="1"/>
  <c r="L27" i="1"/>
  <c r="J46" i="1"/>
  <c r="J64" i="1"/>
  <c r="J54" i="1"/>
  <c r="L11" i="1"/>
  <c r="M14" i="1"/>
  <c r="M72" i="1" s="1"/>
  <c r="L72" i="1"/>
  <c r="M4" i="1"/>
  <c r="L63" i="1"/>
  <c r="N10" i="1"/>
  <c r="M37" i="1"/>
  <c r="M45" i="1"/>
  <c r="M12" i="1"/>
  <c r="M55" i="1" s="1"/>
  <c r="L55" i="1"/>
  <c r="N6" i="1"/>
  <c r="M28" i="1"/>
  <c r="M73" i="1"/>
  <c r="L45" i="1"/>
  <c r="L37" i="1"/>
  <c r="M5" i="1"/>
  <c r="M9" i="1"/>
  <c r="L18" i="1"/>
  <c r="M13" i="1"/>
  <c r="N4" i="1"/>
  <c r="R8" i="1"/>
  <c r="S8" i="1" s="1"/>
  <c r="T8" i="1" s="1"/>
  <c r="V8" i="1" s="1"/>
  <c r="W8" i="1" s="1"/>
  <c r="X8" i="1" s="1"/>
  <c r="Y8" i="1" s="1"/>
  <c r="M27" i="1" l="1"/>
  <c r="M36" i="1"/>
  <c r="N14" i="1"/>
  <c r="N72" i="1" s="1"/>
  <c r="M11" i="1"/>
  <c r="L46" i="1"/>
  <c r="L64" i="1"/>
  <c r="L54" i="1"/>
  <c r="O4" i="1"/>
  <c r="Q4" i="1" s="1"/>
  <c r="N63" i="1"/>
  <c r="O10" i="1"/>
  <c r="N45" i="1"/>
  <c r="N37" i="1"/>
  <c r="M18" i="1"/>
  <c r="M63" i="1"/>
  <c r="O6" i="1"/>
  <c r="N28" i="1"/>
  <c r="N73" i="1"/>
  <c r="N12" i="1"/>
  <c r="N9" i="1"/>
  <c r="M19" i="1"/>
  <c r="N13" i="1"/>
  <c r="N18" i="1"/>
  <c r="N5" i="1"/>
  <c r="Q15" i="1"/>
  <c r="R15" i="1" s="1"/>
  <c r="S15" i="1" s="1"/>
  <c r="T15" i="1" s="1"/>
  <c r="V15" i="1" s="1"/>
  <c r="W15" i="1" s="1"/>
  <c r="X15" i="1" s="1"/>
  <c r="Y15" i="1" s="1"/>
  <c r="N11" i="1" l="1"/>
  <c r="M54" i="1"/>
  <c r="M46" i="1"/>
  <c r="M64" i="1"/>
  <c r="O5" i="1"/>
  <c r="N27" i="1"/>
  <c r="N36" i="1"/>
  <c r="O11" i="1"/>
  <c r="O14" i="1"/>
  <c r="O72" i="1" s="1"/>
  <c r="Q6" i="1"/>
  <c r="O28" i="1"/>
  <c r="O73" i="1"/>
  <c r="Q18" i="1"/>
  <c r="Q63" i="1"/>
  <c r="O18" i="1"/>
  <c r="O63" i="1"/>
  <c r="Q10" i="1"/>
  <c r="O45" i="1"/>
  <c r="O37" i="1"/>
  <c r="O12" i="1"/>
  <c r="N55" i="1"/>
  <c r="O9" i="1"/>
  <c r="Q9" i="1" s="1"/>
  <c r="R9" i="1" s="1"/>
  <c r="S9" i="1" s="1"/>
  <c r="T9" i="1" s="1"/>
  <c r="V9" i="1" s="1"/>
  <c r="W9" i="1" s="1"/>
  <c r="X9" i="1" s="1"/>
  <c r="Y9" i="1" s="1"/>
  <c r="N19" i="1"/>
  <c r="O13" i="1"/>
  <c r="Q13" i="1" s="1"/>
  <c r="R13" i="1" s="1"/>
  <c r="Q5" i="1"/>
  <c r="R4" i="1"/>
  <c r="Q19" i="1" l="1"/>
  <c r="Q36" i="1"/>
  <c r="Q27" i="1"/>
  <c r="O19" i="1"/>
  <c r="O27" i="1"/>
  <c r="O36" i="1"/>
  <c r="Q11" i="1"/>
  <c r="O54" i="1"/>
  <c r="O64" i="1"/>
  <c r="O46" i="1"/>
  <c r="Q14" i="1"/>
  <c r="Q72" i="1" s="1"/>
  <c r="N46" i="1"/>
  <c r="N64" i="1"/>
  <c r="N54" i="1"/>
  <c r="R18" i="1"/>
  <c r="R63" i="1"/>
  <c r="R6" i="1"/>
  <c r="Q73" i="1"/>
  <c r="Q28" i="1"/>
  <c r="O55" i="1"/>
  <c r="Q12" i="1"/>
  <c r="Q55" i="1" s="1"/>
  <c r="R10" i="1"/>
  <c r="Q45" i="1"/>
  <c r="Q37" i="1"/>
  <c r="S4" i="1"/>
  <c r="R5" i="1"/>
  <c r="S13" i="1"/>
  <c r="T13" i="1" s="1"/>
  <c r="V13" i="1" s="1"/>
  <c r="W13" i="1" s="1"/>
  <c r="X13" i="1" s="1"/>
  <c r="Y13" i="1" s="1"/>
  <c r="R11" i="1" l="1"/>
  <c r="Q54" i="1"/>
  <c r="Q46" i="1"/>
  <c r="Q64" i="1"/>
  <c r="R19" i="1"/>
  <c r="R27" i="1"/>
  <c r="R36" i="1"/>
  <c r="S11" i="1"/>
  <c r="R14" i="1"/>
  <c r="R28" i="1"/>
  <c r="R73" i="1"/>
  <c r="S6" i="1"/>
  <c r="S18" i="1"/>
  <c r="S63" i="1"/>
  <c r="R12" i="1"/>
  <c r="S10" i="1"/>
  <c r="R37" i="1"/>
  <c r="R45" i="1"/>
  <c r="T4" i="1"/>
  <c r="S5" i="1"/>
  <c r="T11" i="1" l="1"/>
  <c r="S46" i="1"/>
  <c r="S64" i="1"/>
  <c r="S54" i="1"/>
  <c r="S14" i="1"/>
  <c r="S72" i="1" s="1"/>
  <c r="R72" i="1"/>
  <c r="S27" i="1"/>
  <c r="S36" i="1"/>
  <c r="R54" i="1"/>
  <c r="R46" i="1"/>
  <c r="R64" i="1"/>
  <c r="S12" i="1"/>
  <c r="R55" i="1"/>
  <c r="T18" i="1"/>
  <c r="T63" i="1"/>
  <c r="T6" i="1"/>
  <c r="S28" i="1"/>
  <c r="S73" i="1"/>
  <c r="T10" i="1"/>
  <c r="S37" i="1"/>
  <c r="S45" i="1"/>
  <c r="V4" i="1"/>
  <c r="V63" i="1" s="1"/>
  <c r="S19" i="1"/>
  <c r="T5" i="1"/>
  <c r="T36" i="1" l="1"/>
  <c r="T27" i="1"/>
  <c r="V11" i="1"/>
  <c r="T46" i="1"/>
  <c r="T64" i="1"/>
  <c r="T54" i="1"/>
  <c r="T14" i="1"/>
  <c r="V10" i="1"/>
  <c r="W10" i="1" s="1"/>
  <c r="T45" i="1"/>
  <c r="T37" i="1"/>
  <c r="V6" i="1"/>
  <c r="T73" i="1"/>
  <c r="T28" i="1"/>
  <c r="W6" i="1"/>
  <c r="T12" i="1"/>
  <c r="S55" i="1"/>
  <c r="V18" i="1"/>
  <c r="W4" i="1"/>
  <c r="W63" i="1" s="1"/>
  <c r="T19" i="1"/>
  <c r="V5" i="1"/>
  <c r="V36" i="1" l="1"/>
  <c r="V27" i="1"/>
  <c r="T72" i="1"/>
  <c r="V14" i="1"/>
  <c r="W11" i="1"/>
  <c r="V46" i="1"/>
  <c r="V64" i="1"/>
  <c r="V54" i="1"/>
  <c r="X6" i="1"/>
  <c r="W73" i="1"/>
  <c r="W28" i="1"/>
  <c r="V12" i="1"/>
  <c r="T55" i="1"/>
  <c r="V28" i="1"/>
  <c r="V73" i="1"/>
  <c r="X10" i="1"/>
  <c r="W37" i="1"/>
  <c r="W45" i="1"/>
  <c r="V37" i="1"/>
  <c r="V45" i="1"/>
  <c r="W18" i="1"/>
  <c r="X4" i="1"/>
  <c r="X63" i="1" s="1"/>
  <c r="V19" i="1"/>
  <c r="W5" i="1"/>
  <c r="W27" i="1" l="1"/>
  <c r="W36" i="1"/>
  <c r="X11" i="1"/>
  <c r="W54" i="1"/>
  <c r="W46" i="1"/>
  <c r="W64" i="1"/>
  <c r="V72" i="1"/>
  <c r="W14" i="1"/>
  <c r="Y10" i="1"/>
  <c r="X45" i="1"/>
  <c r="X37" i="1"/>
  <c r="W12" i="1"/>
  <c r="V55" i="1"/>
  <c r="Y6" i="1"/>
  <c r="X28" i="1"/>
  <c r="X73" i="1"/>
  <c r="X18" i="1"/>
  <c r="Y4" i="1"/>
  <c r="W19" i="1"/>
  <c r="X5" i="1"/>
  <c r="Y11" i="1" l="1"/>
  <c r="X54" i="1"/>
  <c r="X46" i="1"/>
  <c r="X64" i="1"/>
  <c r="X19" i="1"/>
  <c r="X27" i="1"/>
  <c r="X36" i="1"/>
  <c r="W72" i="1"/>
  <c r="X14" i="1"/>
  <c r="X72" i="1" s="1"/>
  <c r="Y28" i="1"/>
  <c r="Y73" i="1"/>
  <c r="X12" i="1"/>
  <c r="W55" i="1"/>
  <c r="Y18" i="1"/>
  <c r="Y63" i="1"/>
  <c r="Y45" i="1"/>
  <c r="Y37" i="1"/>
  <c r="Y5" i="1"/>
  <c r="Y54" i="1" l="1"/>
  <c r="Y46" i="1"/>
  <c r="Y48" i="1" s="1"/>
  <c r="Y64" i="1"/>
  <c r="Y19" i="1"/>
  <c r="Y21" i="1" s="1"/>
  <c r="Y27" i="1"/>
  <c r="Y30" i="1" s="1"/>
  <c r="Y36" i="1"/>
  <c r="X35" i="1" s="1"/>
  <c r="Y14" i="1"/>
  <c r="Y72" i="1" s="1"/>
  <c r="X71" i="1" s="1"/>
  <c r="X75" i="1" s="1"/>
  <c r="Y12" i="1"/>
  <c r="Y55" i="1" s="1"/>
  <c r="X55" i="1"/>
  <c r="X44" i="1"/>
  <c r="Y66" i="1"/>
  <c r="X62" i="1"/>
  <c r="X26" i="1"/>
  <c r="X17" i="1"/>
  <c r="X21" i="1" s="1"/>
  <c r="W71" i="1" l="1"/>
  <c r="Y39" i="1"/>
  <c r="Y75" i="1"/>
  <c r="W35" i="1"/>
  <c r="X39" i="1"/>
  <c r="W75" i="1"/>
  <c r="V71" i="1"/>
  <c r="X66" i="1"/>
  <c r="W62" i="1"/>
  <c r="X48" i="1"/>
  <c r="W44" i="1"/>
  <c r="W26" i="1"/>
  <c r="X30" i="1"/>
  <c r="Y57" i="1"/>
  <c r="X53" i="1"/>
  <c r="W17" i="1"/>
  <c r="W21" i="1" s="1"/>
  <c r="V26" i="1" l="1"/>
  <c r="W30" i="1"/>
  <c r="V75" i="1"/>
  <c r="T71" i="1"/>
  <c r="V44" i="1"/>
  <c r="W48" i="1"/>
  <c r="V62" i="1"/>
  <c r="W66" i="1"/>
  <c r="W53" i="1"/>
  <c r="X57" i="1"/>
  <c r="V35" i="1"/>
  <c r="W39" i="1"/>
  <c r="V17" i="1"/>
  <c r="V21" i="1" s="1"/>
  <c r="W57" i="1" l="1"/>
  <c r="V53" i="1"/>
  <c r="T62" i="1"/>
  <c r="V66" i="1"/>
  <c r="V48" i="1"/>
  <c r="T44" i="1"/>
  <c r="T75" i="1"/>
  <c r="U71" i="1"/>
  <c r="T77" i="1" s="1"/>
  <c r="S71" i="1"/>
  <c r="T35" i="1"/>
  <c r="V39" i="1"/>
  <c r="T26" i="1"/>
  <c r="V30" i="1"/>
  <c r="T17" i="1"/>
  <c r="U35" i="1" l="1"/>
  <c r="T41" i="1" s="1"/>
  <c r="S35" i="1"/>
  <c r="T39" i="1"/>
  <c r="S75" i="1"/>
  <c r="R71" i="1"/>
  <c r="T48" i="1"/>
  <c r="S44" i="1"/>
  <c r="U44" i="1"/>
  <c r="T50" i="1" s="1"/>
  <c r="T21" i="1"/>
  <c r="U17" i="1"/>
  <c r="T23" i="1" s="1"/>
  <c r="U62" i="1"/>
  <c r="T68" i="1" s="1"/>
  <c r="S62" i="1"/>
  <c r="T66" i="1"/>
  <c r="U26" i="1"/>
  <c r="T32" i="1" s="1"/>
  <c r="S26" i="1"/>
  <c r="T30" i="1"/>
  <c r="V57" i="1"/>
  <c r="T53" i="1"/>
  <c r="S17" i="1"/>
  <c r="S21" i="1" s="1"/>
  <c r="U53" i="1" l="1"/>
  <c r="T59" i="1" s="1"/>
  <c r="T57" i="1"/>
  <c r="S53" i="1"/>
  <c r="R75" i="1"/>
  <c r="Q71" i="1"/>
  <c r="R62" i="1"/>
  <c r="S66" i="1"/>
  <c r="S48" i="1"/>
  <c r="R44" i="1"/>
  <c r="S30" i="1"/>
  <c r="R26" i="1"/>
  <c r="R35" i="1"/>
  <c r="S39" i="1"/>
  <c r="R17" i="1"/>
  <c r="R21" i="1" s="1"/>
  <c r="Q62" i="1" l="1"/>
  <c r="R66" i="1"/>
  <c r="R39" i="1"/>
  <c r="Q35" i="1"/>
  <c r="Q44" i="1"/>
  <c r="R48" i="1"/>
  <c r="O71" i="1"/>
  <c r="Q75" i="1"/>
  <c r="O77" i="1" s="1"/>
  <c r="R53" i="1"/>
  <c r="S57" i="1"/>
  <c r="R30" i="1"/>
  <c r="Q26" i="1"/>
  <c r="Q17" i="1"/>
  <c r="Q21" i="1" s="1"/>
  <c r="R57" i="1" l="1"/>
  <c r="Q53" i="1"/>
  <c r="O35" i="1"/>
  <c r="Q39" i="1"/>
  <c r="O41" i="1" s="1"/>
  <c r="O26" i="1"/>
  <c r="Q30" i="1"/>
  <c r="O32" i="1" s="1"/>
  <c r="P71" i="1"/>
  <c r="O75" i="1"/>
  <c r="N71" i="1"/>
  <c r="Q48" i="1"/>
  <c r="O50" i="1" s="1"/>
  <c r="O44" i="1"/>
  <c r="O62" i="1"/>
  <c r="Q66" i="1"/>
  <c r="O68" i="1" s="1"/>
  <c r="O23" i="1"/>
  <c r="O17" i="1"/>
  <c r="N75" i="1" l="1"/>
  <c r="M71" i="1"/>
  <c r="O21" i="1"/>
  <c r="P17" i="1"/>
  <c r="P26" i="1"/>
  <c r="O30" i="1"/>
  <c r="N26" i="1"/>
  <c r="Q57" i="1"/>
  <c r="O59" i="1" s="1"/>
  <c r="O53" i="1"/>
  <c r="P35" i="1"/>
  <c r="O39" i="1"/>
  <c r="N35" i="1"/>
  <c r="P62" i="1"/>
  <c r="N62" i="1"/>
  <c r="O66" i="1"/>
  <c r="P44" i="1"/>
  <c r="O48" i="1"/>
  <c r="N44" i="1"/>
  <c r="N17" i="1"/>
  <c r="N21" i="1" s="1"/>
  <c r="M26" i="1" l="1"/>
  <c r="N30" i="1"/>
  <c r="M75" i="1"/>
  <c r="L71" i="1"/>
  <c r="O57" i="1"/>
  <c r="P53" i="1"/>
  <c r="N53" i="1"/>
  <c r="N48" i="1"/>
  <c r="M44" i="1"/>
  <c r="M62" i="1"/>
  <c r="N66" i="1"/>
  <c r="M35" i="1"/>
  <c r="N39" i="1"/>
  <c r="M17" i="1"/>
  <c r="M21" i="1" s="1"/>
  <c r="M66" i="1" l="1"/>
  <c r="L62" i="1"/>
  <c r="M48" i="1"/>
  <c r="L44" i="1"/>
  <c r="M53" i="1"/>
  <c r="N57" i="1"/>
  <c r="M39" i="1"/>
  <c r="L35" i="1"/>
  <c r="L75" i="1"/>
  <c r="J71" i="1"/>
  <c r="L26" i="1"/>
  <c r="M30" i="1"/>
  <c r="L17" i="1"/>
  <c r="L21" i="1" s="1"/>
  <c r="M57" i="1" l="1"/>
  <c r="L53" i="1"/>
  <c r="K71" i="1"/>
  <c r="I71" i="1"/>
  <c r="J75" i="1"/>
  <c r="L66" i="1"/>
  <c r="J62" i="1"/>
  <c r="L39" i="1"/>
  <c r="J35" i="1"/>
  <c r="L48" i="1"/>
  <c r="J44" i="1"/>
  <c r="J26" i="1"/>
  <c r="L30" i="1"/>
  <c r="J17" i="1"/>
  <c r="K35" i="1" l="1"/>
  <c r="J39" i="1"/>
  <c r="I35" i="1"/>
  <c r="K62" i="1"/>
  <c r="J66" i="1"/>
  <c r="I62" i="1"/>
  <c r="J21" i="1"/>
  <c r="K17" i="1"/>
  <c r="K26" i="1"/>
  <c r="J30" i="1"/>
  <c r="I26" i="1"/>
  <c r="H71" i="1"/>
  <c r="I75" i="1"/>
  <c r="J53" i="1"/>
  <c r="L57" i="1"/>
  <c r="K44" i="1"/>
  <c r="I44" i="1"/>
  <c r="J48" i="1"/>
  <c r="I17" i="1"/>
  <c r="I21" i="1" s="1"/>
  <c r="I39" i="1" l="1"/>
  <c r="H35" i="1"/>
  <c r="H44" i="1"/>
  <c r="I48" i="1"/>
  <c r="H62" i="1"/>
  <c r="I66" i="1"/>
  <c r="K53" i="1"/>
  <c r="J57" i="1"/>
  <c r="I53" i="1"/>
  <c r="H75" i="1"/>
  <c r="G71" i="1"/>
  <c r="H26" i="1"/>
  <c r="I30" i="1"/>
  <c r="H17" i="1"/>
  <c r="H21" i="1" s="1"/>
  <c r="I57" i="1" l="1"/>
  <c r="H53" i="1"/>
  <c r="G62" i="1"/>
  <c r="H66" i="1"/>
  <c r="G44" i="1"/>
  <c r="H48" i="1"/>
  <c r="G26" i="1"/>
  <c r="H30" i="1"/>
  <c r="H39" i="1"/>
  <c r="G35" i="1"/>
  <c r="F71" i="1"/>
  <c r="G75" i="1"/>
  <c r="G17" i="1"/>
  <c r="G39" i="1" l="1"/>
  <c r="F35" i="1"/>
  <c r="AD41" i="1" s="1"/>
  <c r="F26" i="1"/>
  <c r="AD32" i="1" s="1"/>
  <c r="G30" i="1"/>
  <c r="F44" i="1"/>
  <c r="G48" i="1"/>
  <c r="F17" i="1"/>
  <c r="G21" i="1"/>
  <c r="Y22" i="1" s="1"/>
  <c r="F62" i="1"/>
  <c r="G66" i="1"/>
  <c r="N76" i="1"/>
  <c r="L76" i="1"/>
  <c r="V76" i="1"/>
  <c r="O76" i="1"/>
  <c r="Q76" i="1"/>
  <c r="T76" i="1"/>
  <c r="M76" i="1"/>
  <c r="R76" i="1"/>
  <c r="S76" i="1"/>
  <c r="I76" i="1"/>
  <c r="H76" i="1"/>
  <c r="AA75" i="1" s="1"/>
  <c r="Y77" i="1"/>
  <c r="X76" i="1"/>
  <c r="AB77" i="1"/>
  <c r="G76" i="1"/>
  <c r="Y76" i="1"/>
  <c r="W76" i="1"/>
  <c r="J76" i="1"/>
  <c r="H57" i="1"/>
  <c r="G53" i="1"/>
  <c r="AD77" i="1"/>
  <c r="F75" i="1"/>
  <c r="J77" i="1"/>
  <c r="G22" i="1" l="1"/>
  <c r="X22" i="1"/>
  <c r="F21" i="1"/>
  <c r="J23" i="1"/>
  <c r="AD23" i="1"/>
  <c r="AI72" i="1" a="1"/>
  <c r="AI72" i="1" s="1"/>
  <c r="I49" i="1"/>
  <c r="Y50" i="1"/>
  <c r="J49" i="1"/>
  <c r="H49" i="1"/>
  <c r="Y49" i="1"/>
  <c r="O49" i="1"/>
  <c r="T49" i="1"/>
  <c r="Q49" i="1"/>
  <c r="G49" i="1"/>
  <c r="M49" i="1"/>
  <c r="AB50" i="1"/>
  <c r="X49" i="1"/>
  <c r="N49" i="1"/>
  <c r="W49" i="1"/>
  <c r="R49" i="1"/>
  <c r="V49" i="1"/>
  <c r="S49" i="1"/>
  <c r="L49" i="1"/>
  <c r="Q31" i="1"/>
  <c r="H31" i="1"/>
  <c r="X31" i="1"/>
  <c r="R31" i="1"/>
  <c r="Y31" i="1"/>
  <c r="AB32" i="1"/>
  <c r="J31" i="1"/>
  <c r="O31" i="1"/>
  <c r="Y32" i="1"/>
  <c r="I31" i="1"/>
  <c r="L31" i="1"/>
  <c r="T31" i="1"/>
  <c r="N31" i="1"/>
  <c r="M31" i="1"/>
  <c r="W31" i="1"/>
  <c r="S31" i="1"/>
  <c r="G31" i="1"/>
  <c r="V31" i="1"/>
  <c r="F53" i="1"/>
  <c r="G57" i="1"/>
  <c r="Y67" i="1"/>
  <c r="R67" i="1"/>
  <c r="X67" i="1"/>
  <c r="M67" i="1"/>
  <c r="W67" i="1"/>
  <c r="S67" i="1"/>
  <c r="I67" i="1"/>
  <c r="J67" i="1"/>
  <c r="Y68" i="1"/>
  <c r="Q67" i="1"/>
  <c r="L67" i="1"/>
  <c r="T67" i="1"/>
  <c r="O67" i="1"/>
  <c r="G67" i="1"/>
  <c r="AB68" i="1"/>
  <c r="V67" i="1"/>
  <c r="N67" i="1"/>
  <c r="H67" i="1"/>
  <c r="F66" i="1"/>
  <c r="J68" i="1"/>
  <c r="AD50" i="1"/>
  <c r="F48" i="1"/>
  <c r="J50" i="1"/>
  <c r="AD68" i="1"/>
  <c r="J41" i="1"/>
  <c r="F39" i="1"/>
  <c r="F30" i="1"/>
  <c r="J32" i="1"/>
  <c r="I22" i="1"/>
  <c r="T22" i="1"/>
  <c r="V22" i="1"/>
  <c r="H22" i="1"/>
  <c r="S22" i="1"/>
  <c r="L22" i="1"/>
  <c r="M22" i="1"/>
  <c r="W22" i="1"/>
  <c r="J22" i="1"/>
  <c r="R22" i="1"/>
  <c r="O22" i="1"/>
  <c r="Q22" i="1"/>
  <c r="N22" i="1"/>
  <c r="G40" i="1"/>
  <c r="R40" i="1"/>
  <c r="O40" i="1"/>
  <c r="X40" i="1"/>
  <c r="J40" i="1"/>
  <c r="AB41" i="1"/>
  <c r="V40" i="1"/>
  <c r="Q40" i="1"/>
  <c r="H40" i="1"/>
  <c r="Y41" i="1"/>
  <c r="L40" i="1"/>
  <c r="W40" i="1"/>
  <c r="T40" i="1"/>
  <c r="N40" i="1"/>
  <c r="Y40" i="1"/>
  <c r="M40" i="1"/>
  <c r="I40" i="1"/>
  <c r="S40" i="1"/>
  <c r="AA39" i="1"/>
  <c r="AA21" i="1"/>
  <c r="AB23" i="1"/>
  <c r="AI18" i="1" s="1" a="1"/>
  <c r="AI18" i="1" s="1"/>
  <c r="Y23" i="1"/>
  <c r="AA30" i="1" l="1"/>
  <c r="AI27" i="1" s="1" a="1"/>
  <c r="AI27" i="1" s="1"/>
  <c r="AA66" i="1"/>
  <c r="AI63" i="1" s="1" a="1"/>
  <c r="AI63" i="1" s="1"/>
  <c r="AI36" i="1" a="1"/>
  <c r="AI36" i="1" s="1"/>
  <c r="R58" i="1"/>
  <c r="T58" i="1"/>
  <c r="Y59" i="1"/>
  <c r="AB59" i="1"/>
  <c r="H58" i="1"/>
  <c r="AA57" i="1" s="1"/>
  <c r="S58" i="1"/>
  <c r="L58" i="1"/>
  <c r="I58" i="1"/>
  <c r="J58" i="1"/>
  <c r="W58" i="1"/>
  <c r="Q58" i="1"/>
  <c r="X58" i="1"/>
  <c r="G58" i="1"/>
  <c r="O58" i="1"/>
  <c r="M58" i="1"/>
  <c r="N58" i="1"/>
  <c r="V58" i="1"/>
  <c r="Y58" i="1"/>
  <c r="AD59" i="1"/>
  <c r="F57" i="1"/>
  <c r="J59" i="1"/>
  <c r="AA48" i="1"/>
  <c r="AI45" i="1" s="1" a="1"/>
  <c r="AI45" i="1" s="1"/>
  <c r="AI54" i="1" l="1" a="1"/>
  <c r="AI5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<sst xmlns="http://schemas.openxmlformats.org/spreadsheetml/2006/main" count="436" uniqueCount="83">
  <si>
    <t xml:space="preserve">A = </t>
  </si>
  <si>
    <t xml:space="preserve">X1 = </t>
  </si>
  <si>
    <t xml:space="preserve">X2 = </t>
  </si>
  <si>
    <t xml:space="preserve">X3 = </t>
  </si>
  <si>
    <t xml:space="preserve">X7 = </t>
  </si>
  <si>
    <t xml:space="preserve">X8 = </t>
  </si>
  <si>
    <t xml:space="preserve">X9 = </t>
  </si>
  <si>
    <t xml:space="preserve">X10 = </t>
  </si>
  <si>
    <t xml:space="preserve">X11 = </t>
  </si>
  <si>
    <t xml:space="preserve">X12 = </t>
  </si>
  <si>
    <t xml:space="preserve">C = </t>
  </si>
  <si>
    <t xml:space="preserve">A + C = </t>
  </si>
  <si>
    <t xml:space="preserve">A + C + C = </t>
  </si>
  <si>
    <t xml:space="preserve">X4 = </t>
  </si>
  <si>
    <t xml:space="preserve">X5 = </t>
  </si>
  <si>
    <t xml:space="preserve">X6 = </t>
  </si>
  <si>
    <t>C - A =</t>
  </si>
  <si>
    <t>65536 - X4 =</t>
  </si>
  <si>
    <t xml:space="preserve">-X1 = </t>
  </si>
  <si>
    <t xml:space="preserve">-X2 = </t>
  </si>
  <si>
    <t xml:space="preserve">-X3 = </t>
  </si>
  <si>
    <t xml:space="preserve">-X4 = </t>
  </si>
  <si>
    <t xml:space="preserve">-X5 = </t>
  </si>
  <si>
    <t xml:space="preserve">-X6 = </t>
  </si>
  <si>
    <t>B1 =</t>
  </si>
  <si>
    <t>B2 =</t>
  </si>
  <si>
    <t>B3 =</t>
  </si>
  <si>
    <t>B4 =</t>
  </si>
  <si>
    <t>B5 =</t>
  </si>
  <si>
    <t>B6 =</t>
  </si>
  <si>
    <t>B7 =</t>
  </si>
  <si>
    <t>B8 =</t>
  </si>
  <si>
    <t>B9 =</t>
  </si>
  <si>
    <t>B10 =</t>
  </si>
  <si>
    <t>B11 =</t>
  </si>
  <si>
    <t>B12 =</t>
  </si>
  <si>
    <t>.</t>
  </si>
  <si>
    <t>-B1 =</t>
  </si>
  <si>
    <t>-B2 =</t>
  </si>
  <si>
    <t>-B3 =</t>
  </si>
  <si>
    <t>-B4 =</t>
  </si>
  <si>
    <t>-B5 =</t>
  </si>
  <si>
    <t>-B6 =</t>
  </si>
  <si>
    <t>Прямой код</t>
  </si>
  <si>
    <t>Дополнительный код</t>
  </si>
  <si>
    <t>Номер разряда n</t>
  </si>
  <si>
    <t>2^n</t>
  </si>
  <si>
    <r>
      <t>B1</t>
    </r>
    <r>
      <rPr>
        <sz val="8"/>
        <color theme="1"/>
        <rFont val="Aptos Narrow (Body)"/>
      </rPr>
      <t>(2)</t>
    </r>
  </si>
  <si>
    <r>
      <t>B2</t>
    </r>
    <r>
      <rPr>
        <sz val="8"/>
        <color theme="1"/>
        <rFont val="Aptos Narrow (Body)"/>
      </rPr>
      <t>(2)</t>
    </r>
  </si>
  <si>
    <t>---------------</t>
  </si>
  <si>
    <t>---------------------</t>
  </si>
  <si>
    <t>---</t>
  </si>
  <si>
    <t>Перенос</t>
  </si>
  <si>
    <r>
      <t>(2)</t>
    </r>
    <r>
      <rPr>
        <sz val="12"/>
        <color theme="1"/>
        <rFont val="Aptos Narrow (Body)"/>
      </rPr>
      <t xml:space="preserve"> = </t>
    </r>
  </si>
  <si>
    <t>Доп код</t>
  </si>
  <si>
    <t>+</t>
  </si>
  <si>
    <r>
      <t>X1</t>
    </r>
    <r>
      <rPr>
        <sz val="8"/>
        <color rgb="FF000000"/>
        <rFont val="Aptos Narrow"/>
        <scheme val="minor"/>
      </rPr>
      <t>(2)</t>
    </r>
  </si>
  <si>
    <r>
      <t>X2</t>
    </r>
    <r>
      <rPr>
        <sz val="8"/>
        <color rgb="FF000000"/>
        <rFont val="Aptos Narrow"/>
        <scheme val="minor"/>
      </rPr>
      <t>(2)</t>
    </r>
  </si>
  <si>
    <t xml:space="preserve">CF = </t>
  </si>
  <si>
    <t>PF =</t>
  </si>
  <si>
    <t xml:space="preserve">AF = </t>
  </si>
  <si>
    <t xml:space="preserve">ZF = </t>
  </si>
  <si>
    <t xml:space="preserve">SF = </t>
  </si>
  <si>
    <t>OF =</t>
  </si>
  <si>
    <t>(10)</t>
  </si>
  <si>
    <t>--------------</t>
  </si>
  <si>
    <t>-------------</t>
  </si>
  <si>
    <t>Результат корректный</t>
  </si>
  <si>
    <t>При сложении положитель-ных чисел получен отрицательный результат – ПЕРЕПОЛНЕНИЕ!</t>
  </si>
  <si>
    <t>Результат корректный. Перенос из старшего разряда не учитывается</t>
  </si>
  <si>
    <t>При сложении отрицатель-ных чисел получен положительный результат – ПЕРЕПОЛНЕНИЕ!</t>
  </si>
  <si>
    <r>
      <t>B3</t>
    </r>
    <r>
      <rPr>
        <sz val="8"/>
        <color theme="1"/>
        <rFont val="Aptos Narrow (Body)"/>
      </rPr>
      <t>(2)</t>
    </r>
  </si>
  <si>
    <r>
      <t>X3</t>
    </r>
    <r>
      <rPr>
        <sz val="8"/>
        <color rgb="FF000000"/>
        <rFont val="Aptos Narrow"/>
        <scheme val="minor"/>
      </rPr>
      <t>(2)</t>
    </r>
  </si>
  <si>
    <r>
      <t>B7</t>
    </r>
    <r>
      <rPr>
        <sz val="8"/>
        <color theme="1"/>
        <rFont val="Aptos Narrow (Body)"/>
      </rPr>
      <t>(2)</t>
    </r>
  </si>
  <si>
    <t xml:space="preserve"> </t>
  </si>
  <si>
    <r>
      <t>B8</t>
    </r>
    <r>
      <rPr>
        <sz val="8"/>
        <color theme="1"/>
        <rFont val="Aptos Narrow (Body)"/>
      </rPr>
      <t>(2)</t>
    </r>
  </si>
  <si>
    <r>
      <t>B9</t>
    </r>
    <r>
      <rPr>
        <sz val="8"/>
        <color theme="1"/>
        <rFont val="Aptos Narrow (Body)"/>
      </rPr>
      <t>(2)</t>
    </r>
  </si>
  <si>
    <r>
      <t>B11</t>
    </r>
    <r>
      <rPr>
        <sz val="8"/>
        <color theme="1"/>
        <rFont val="Aptos Narrow (Body)"/>
      </rPr>
      <t>(2)</t>
    </r>
  </si>
  <si>
    <r>
      <t>X7</t>
    </r>
    <r>
      <rPr>
        <sz val="8"/>
        <color rgb="FF000000"/>
        <rFont val="Aptos Narrow"/>
        <scheme val="minor"/>
      </rPr>
      <t>(2)</t>
    </r>
  </si>
  <si>
    <t>-X5-X3</t>
  </si>
  <si>
    <t>B11+B3</t>
  </si>
  <si>
    <t>A-C+A+C</t>
  </si>
  <si>
    <t>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</si>
</sst>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 (Body)"/>
    </font>
    <font>
      <sz val="8"/>
      <color theme="1"/>
      <name val="Aptos Narrow"/>
      <family val="2"/>
      <scheme val="minor"/>
    </font>
    <font>
      <sz val="12"/>
      <color theme="1"/>
      <name val="Aptos Narrow (Body)"/>
    </font>
    <font>
      <sz val="12"/>
      <color rgb="FF000000"/>
      <name val="Aptos Narrow"/>
      <family val="2"/>
      <scheme val="minor"/>
    </font>
    <font>
      <sz val="8"/>
      <color rgb="FF000000"/>
      <name val="Aptos Narrow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3" fillId="0" borderId="0" xfId="0" applyFont="1"/>
    <xf numFmtId="0" fontId="3" fillId="0" borderId="0" xfId="0" quotePrefix="1" applyFo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40">
    <dxf>
      <font>
        <b val="0"/>
        <i/>
      </font>
    </dxf>
    <dxf>
      <font>
        <b/>
        <i val="0"/>
      </font>
    </dxf>
    <dxf>
      <font>
        <b/>
        <i val="0"/>
      </font>
    </dxf>
    <dxf>
      <font>
        <b val="0"/>
        <i/>
      </font>
    </dxf>
    <dxf>
      <font>
        <b/>
        <i val="0"/>
      </font>
    </dxf>
    <dxf>
      <font>
        <b val="0"/>
        <i/>
      </font>
    </dxf>
    <dxf>
      <font>
        <b val="0"/>
        <i/>
      </font>
    </dxf>
    <dxf>
      <font>
        <b/>
        <i val="0"/>
      </font>
    </dxf>
    <dxf>
      <font>
        <b val="0"/>
        <i/>
      </font>
    </dxf>
    <dxf>
      <font>
        <b/>
        <i val="0"/>
      </font>
    </dxf>
    <dxf>
      <font>
        <b val="0"/>
        <i/>
      </font>
    </dxf>
    <dxf>
      <font>
        <b/>
        <i val="0"/>
      </font>
    </dxf>
    <dxf>
      <font>
        <b val="0"/>
        <i/>
      </font>
    </dxf>
    <dxf>
      <font>
        <b/>
        <i val="0"/>
      </font>
    </dxf>
    <dxf>
      <font>
        <b/>
        <i val="0"/>
      </font>
    </dxf>
    <dxf>
      <font>
        <b val="0"/>
        <i/>
      </font>
    </dxf>
    <dxf>
      <font>
        <b/>
        <i val="0"/>
      </font>
    </dxf>
    <dxf>
      <font>
        <b val="0"/>
        <i/>
      </font>
    </dxf>
    <dxf>
      <font>
        <b val="0"/>
        <i/>
      </font>
    </dxf>
    <dxf>
      <font>
        <b/>
        <i val="0"/>
      </font>
    </dxf>
    <dxf>
      <font>
        <b/>
        <i val="0"/>
      </font>
    </dxf>
    <dxf>
      <font>
        <b val="0"/>
        <i/>
      </font>
    </dxf>
    <dxf>
      <font>
        <b/>
        <i val="0"/>
      </font>
    </dxf>
    <dxf>
      <font>
        <b val="0"/>
        <i/>
      </font>
    </dxf>
    <dxf>
      <font>
        <b/>
        <i val="0"/>
      </font>
    </dxf>
    <dxf>
      <font>
        <b val="0"/>
        <i/>
      </font>
    </dxf>
    <dxf>
      <font>
        <b val="0"/>
        <i/>
      </font>
    </dxf>
    <dxf>
      <font>
        <b/>
        <i val="0"/>
      </font>
    </dxf>
    <dxf>
      <font>
        <b val="0"/>
        <i/>
      </font>
    </dxf>
    <dxf>
      <font>
        <b/>
        <i val="0"/>
      </font>
    </dxf>
    <dxf>
      <font>
        <b val="0"/>
        <i/>
      </font>
    </dxf>
    <dxf>
      <font>
        <b/>
        <i val="0"/>
      </font>
    </dxf>
    <dxf>
      <font>
        <b val="0"/>
        <i/>
      </font>
    </dxf>
    <dxf>
      <font>
        <b/>
        <i val="0"/>
      </font>
    </dxf>
    <dxf>
      <font>
        <b val="0"/>
        <i/>
      </font>
    </dxf>
    <dxf>
      <font>
        <b/>
        <i val="0"/>
      </font>
    </dxf>
    <dxf>
      <font>
        <b val="0"/>
        <i/>
      </font>
    </dxf>
    <dxf>
      <font>
        <b/>
        <i val="0"/>
      </font>
    </dxf>
    <dxf>
      <font>
        <b/>
        <i val="0"/>
      </font>
    </dxf>
    <dxf>
      <font>
        <b val="0"/>
        <i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35247-2114-5144-ACF4-CA49466AEF78}">
  <dimension ref="A1:AK77"/>
  <sheetViews>
    <sheetView tabSelected="1" zoomScale="125" zoomScaleNormal="125" workbookViewId="0">
      <selection activeCell="A22" sqref="A22"/>
    </sheetView>
  </sheetViews>
  <sheetFormatPr baseColWidth="10" defaultRowHeight="16" x14ac:dyDescent="0.2"/>
  <cols>
    <col min="4" max="4" width="18.33203125" customWidth="1"/>
    <col min="6" max="6" width="14.83203125" customWidth="1"/>
    <col min="7" max="25" width="2.83203125" customWidth="1"/>
    <col min="26" max="26" width="4.1640625" customWidth="1"/>
    <col min="27" max="27" width="7.1640625" customWidth="1"/>
    <col min="28" max="28" width="3.1640625" customWidth="1"/>
    <col min="30" max="30" width="3.6640625" customWidth="1"/>
    <col min="34" max="35" width="10.83203125" customWidth="1"/>
  </cols>
  <sheetData>
    <row r="1" spans="1:34" x14ac:dyDescent="0.2">
      <c r="A1">
        <f>MOD(98,40)</f>
        <v>18</v>
      </c>
      <c r="B1" s="1" t="s">
        <v>0</v>
      </c>
      <c r="C1">
        <v>1587</v>
      </c>
      <c r="AH1" t="s">
        <v>67</v>
      </c>
    </row>
    <row r="2" spans="1:34" x14ac:dyDescent="0.2">
      <c r="B2" s="1" t="s">
        <v>10</v>
      </c>
      <c r="C2">
        <v>23366</v>
      </c>
      <c r="F2" t="s">
        <v>46</v>
      </c>
      <c r="G2">
        <f>POWER(2,G3)</f>
        <v>32768</v>
      </c>
      <c r="H2">
        <f t="shared" ref="H2:Y2" si="0">POWER(2,H3)</f>
        <v>16384</v>
      </c>
      <c r="I2">
        <f t="shared" si="0"/>
        <v>8192</v>
      </c>
      <c r="J2">
        <f t="shared" si="0"/>
        <v>4096</v>
      </c>
      <c r="K2">
        <v>0</v>
      </c>
      <c r="L2">
        <f t="shared" si="0"/>
        <v>2048</v>
      </c>
      <c r="M2">
        <f t="shared" si="0"/>
        <v>1024</v>
      </c>
      <c r="N2">
        <f t="shared" si="0"/>
        <v>512</v>
      </c>
      <c r="O2">
        <f t="shared" si="0"/>
        <v>256</v>
      </c>
      <c r="P2">
        <v>0</v>
      </c>
      <c r="Q2">
        <f t="shared" si="0"/>
        <v>128</v>
      </c>
      <c r="R2">
        <f t="shared" si="0"/>
        <v>64</v>
      </c>
      <c r="S2">
        <f t="shared" si="0"/>
        <v>32</v>
      </c>
      <c r="T2">
        <f t="shared" si="0"/>
        <v>16</v>
      </c>
      <c r="U2">
        <v>0</v>
      </c>
      <c r="V2">
        <f t="shared" si="0"/>
        <v>8</v>
      </c>
      <c r="W2">
        <f t="shared" si="0"/>
        <v>4</v>
      </c>
      <c r="X2">
        <f t="shared" si="0"/>
        <v>2</v>
      </c>
      <c r="Y2">
        <f t="shared" si="0"/>
        <v>1</v>
      </c>
      <c r="AH2" t="s">
        <v>68</v>
      </c>
    </row>
    <row r="3" spans="1:34" x14ac:dyDescent="0.2">
      <c r="C3" t="s">
        <v>43</v>
      </c>
      <c r="D3" t="s">
        <v>44</v>
      </c>
      <c r="F3" t="s">
        <v>45</v>
      </c>
      <c r="G3">
        <v>15</v>
      </c>
      <c r="H3">
        <v>14</v>
      </c>
      <c r="I3">
        <v>13</v>
      </c>
      <c r="J3">
        <v>12</v>
      </c>
      <c r="K3" t="s">
        <v>36</v>
      </c>
      <c r="L3">
        <v>11</v>
      </c>
      <c r="M3">
        <v>10</v>
      </c>
      <c r="N3">
        <v>9</v>
      </c>
      <c r="O3">
        <v>8</v>
      </c>
      <c r="P3" t="s">
        <v>36</v>
      </c>
      <c r="Q3">
        <v>7</v>
      </c>
      <c r="R3">
        <v>6</v>
      </c>
      <c r="S3">
        <v>5</v>
      </c>
      <c r="T3">
        <v>4</v>
      </c>
      <c r="U3" t="s">
        <v>36</v>
      </c>
      <c r="V3">
        <v>3</v>
      </c>
      <c r="W3">
        <v>2</v>
      </c>
      <c r="X3">
        <v>1</v>
      </c>
      <c r="Y3">
        <v>0</v>
      </c>
      <c r="AH3" t="s">
        <v>69</v>
      </c>
    </row>
    <row r="4" spans="1:34" x14ac:dyDescent="0.2">
      <c r="A4" s="1" t="s">
        <v>1</v>
      </c>
      <c r="B4" s="1" t="s">
        <v>0</v>
      </c>
      <c r="C4">
        <f>C1</f>
        <v>1587</v>
      </c>
      <c r="E4" s="1" t="s">
        <v>24</v>
      </c>
      <c r="G4" s="2">
        <f>INT(C4&gt;=G$2)</f>
        <v>0</v>
      </c>
      <c r="H4" s="2">
        <f>INT($C4-SUMIF($G4:G4,1,$G$2:G$2)&gt;=H$2)</f>
        <v>0</v>
      </c>
      <c r="I4" s="2">
        <f>INT($C4-SUMIF($G4:H4,1,$G$2:H$2)&gt;=I$2)</f>
        <v>0</v>
      </c>
      <c r="J4" s="2">
        <f>INT($C4-SUMIF($G4:I4,1,$G$2:I$2)&gt;=J$2)</f>
        <v>0</v>
      </c>
      <c r="K4" t="s">
        <v>36</v>
      </c>
      <c r="L4" s="2">
        <f>INT($C4-SUMIF($G4:K4,1,$G$2:K$2)&gt;=L$2)</f>
        <v>0</v>
      </c>
      <c r="M4" s="2">
        <f>INT($C4-SUMIF($G4:L4,1,$G$2:L$2)&gt;=M$2)</f>
        <v>1</v>
      </c>
      <c r="N4" s="2">
        <f>INT($C4-SUMIF($G4:M4,1,$G$2:M$2)&gt;=N$2)</f>
        <v>1</v>
      </c>
      <c r="O4" s="2">
        <f>INT($C4-SUMIF($G4:N4,1,$G$2:N$2)&gt;=O$2)</f>
        <v>0</v>
      </c>
      <c r="P4" t="s">
        <v>36</v>
      </c>
      <c r="Q4" s="2">
        <f>INT($C4-SUMIF($G4:P4,1,$G$2:P$2)&gt;=Q$2)</f>
        <v>0</v>
      </c>
      <c r="R4" s="2">
        <f>INT($C4-SUMIF($G4:Q4,1,$G$2:Q$2)&gt;=R$2)</f>
        <v>0</v>
      </c>
      <c r="S4" s="2">
        <f>INT($C4-SUMIF($G4:R4,1,$G$2:R$2)&gt;=S$2)</f>
        <v>1</v>
      </c>
      <c r="T4" s="2">
        <f>INT($C4-SUMIF($G4:S4,1,$G$2:S$2)&gt;=T$2)</f>
        <v>1</v>
      </c>
      <c r="U4" t="s">
        <v>36</v>
      </c>
      <c r="V4" s="2">
        <f>INT($C4-SUMIF($G4:U4,1,$G$2:U$2)&gt;=V$2)</f>
        <v>0</v>
      </c>
      <c r="W4" s="2">
        <f>INT($C4-SUMIF($G4:V4,1,$G$2:V$2)&gt;=W$2)</f>
        <v>0</v>
      </c>
      <c r="X4" s="2">
        <f>INT($C4-SUMIF($G4:W4,1,$G$2:W$2)&gt;=X$2)</f>
        <v>1</v>
      </c>
      <c r="Y4" s="2">
        <f>INT($C4-SUMIF($G4:X4,1,$G$2:X$2)&gt;=Y$2)</f>
        <v>1</v>
      </c>
      <c r="Z4" s="2"/>
      <c r="AA4" s="2"/>
      <c r="AH4" t="s">
        <v>70</v>
      </c>
    </row>
    <row r="5" spans="1:34" x14ac:dyDescent="0.2">
      <c r="A5" s="1" t="s">
        <v>2</v>
      </c>
      <c r="B5" s="1" t="s">
        <v>10</v>
      </c>
      <c r="C5">
        <f>C2</f>
        <v>23366</v>
      </c>
      <c r="E5" s="1" t="s">
        <v>25</v>
      </c>
      <c r="G5" s="2">
        <f>INT(C5&gt;=G$2)</f>
        <v>0</v>
      </c>
      <c r="H5" s="2">
        <f>INT($C5-SUMIF($G5:G5,1,$G$2:G$2)&gt;=H$2)</f>
        <v>1</v>
      </c>
      <c r="I5" s="2">
        <f>INT($C5-SUMIF($G5:H5,1,$G$2:H$2)&gt;=I$2)</f>
        <v>0</v>
      </c>
      <c r="J5" s="2">
        <f>INT($C5-SUMIF($G5:I5,1,$G$2:I$2)&gt;=J$2)</f>
        <v>1</v>
      </c>
      <c r="K5" t="s">
        <v>36</v>
      </c>
      <c r="L5" s="2">
        <f>INT($C5-SUMIF($G5:K5,1,$G$2:K$2)&gt;=L$2)</f>
        <v>1</v>
      </c>
      <c r="M5" s="2">
        <f>INT($C5-SUMIF($G5:L5,1,$G$2:L$2)&gt;=M$2)</f>
        <v>0</v>
      </c>
      <c r="N5" s="2">
        <f>INT($C5-SUMIF($G5:M5,1,$G$2:M$2)&gt;=N$2)</f>
        <v>1</v>
      </c>
      <c r="O5" s="2">
        <f>INT($C5-SUMIF($G5:N5,1,$G$2:N$2)&gt;=O$2)</f>
        <v>1</v>
      </c>
      <c r="P5" t="s">
        <v>36</v>
      </c>
      <c r="Q5" s="2">
        <f>INT($C5-SUMIF($G5:P5,1,$G$2:P$2)&gt;=Q$2)</f>
        <v>0</v>
      </c>
      <c r="R5" s="2">
        <f>INT($C5-SUMIF($G5:Q5,1,$G$2:Q$2)&gt;=R$2)</f>
        <v>1</v>
      </c>
      <c r="S5" s="2">
        <f>INT($C5-SUMIF($G5:R5,1,$G$2:R$2)&gt;=S$2)</f>
        <v>0</v>
      </c>
      <c r="T5" s="2">
        <f>INT($C5-SUMIF($G5:S5,1,$G$2:S$2)&gt;=T$2)</f>
        <v>0</v>
      </c>
      <c r="U5" t="s">
        <v>36</v>
      </c>
      <c r="V5" s="2">
        <f>INT($C5-SUMIF($G5:U5,1,$G$2:U$2)&gt;=V$2)</f>
        <v>0</v>
      </c>
      <c r="W5" s="2">
        <f>INT($C5-SUMIF($G5:V5,1,$G$2:V$2)&gt;=W$2)</f>
        <v>1</v>
      </c>
      <c r="X5" s="2">
        <f>INT($C5-SUMIF($G5:W5,1,$G$2:W$2)&gt;=X$2)</f>
        <v>1</v>
      </c>
      <c r="Y5" s="2">
        <f>INT($C5-SUMIF($G5:X5,1,$G$2:X$2)&gt;=Y$2)</f>
        <v>0</v>
      </c>
    </row>
    <row r="6" spans="1:34" x14ac:dyDescent="0.2">
      <c r="A6" s="1" t="s">
        <v>3</v>
      </c>
      <c r="B6" s="1" t="s">
        <v>11</v>
      </c>
      <c r="C6">
        <f>C1+C2</f>
        <v>24953</v>
      </c>
      <c r="E6" s="1" t="s">
        <v>26</v>
      </c>
      <c r="G6" s="2">
        <f t="shared" ref="G6:G9" si="1">INT(C6&gt;=G$2)</f>
        <v>0</v>
      </c>
      <c r="H6" s="2">
        <f>INT($C6-SUMIF($G6:G6,1,$G$2:G$2)&gt;=H$2)</f>
        <v>1</v>
      </c>
      <c r="I6" s="2">
        <f>INT($C6-SUMIF($G6:H6,1,$G$2:H$2)&gt;=I$2)</f>
        <v>1</v>
      </c>
      <c r="J6" s="2">
        <f>INT($C6-SUMIF($G6:I6,1,$G$2:I$2)&gt;=J$2)</f>
        <v>0</v>
      </c>
      <c r="K6" t="s">
        <v>36</v>
      </c>
      <c r="L6" s="2">
        <f>INT($C6-SUMIF($G6:K6,1,$G$2:K$2)&gt;=L$2)</f>
        <v>0</v>
      </c>
      <c r="M6" s="2">
        <f>INT($C6-SUMIF($G6:L6,1,$G$2:L$2)&gt;=M$2)</f>
        <v>0</v>
      </c>
      <c r="N6" s="2">
        <f>INT($C6-SUMIF($G6:M6,1,$G$2:M$2)&gt;=N$2)</f>
        <v>0</v>
      </c>
      <c r="O6" s="2">
        <f>INT($C6-SUMIF($G6:N6,1,$G$2:N$2)&gt;=O$2)</f>
        <v>1</v>
      </c>
      <c r="P6" t="s">
        <v>36</v>
      </c>
      <c r="Q6" s="2">
        <f>INT($C6-SUMIF($G6:P6,1,$G$2:P$2)&gt;=Q$2)</f>
        <v>0</v>
      </c>
      <c r="R6" s="2">
        <f>INT($C6-SUMIF($G6:Q6,1,$G$2:Q$2)&gt;=R$2)</f>
        <v>1</v>
      </c>
      <c r="S6" s="2">
        <f>INT($C6-SUMIF($G6:R6,1,$G$2:R$2)&gt;=S$2)</f>
        <v>1</v>
      </c>
      <c r="T6" s="2">
        <f>INT($C6-SUMIF($G6:S6,1,$G$2:S$2)&gt;=T$2)</f>
        <v>1</v>
      </c>
      <c r="U6" t="s">
        <v>36</v>
      </c>
      <c r="V6" s="2">
        <f>INT($C6-SUMIF($G6:U6,1,$G$2:U$2)&gt;=V$2)</f>
        <v>1</v>
      </c>
      <c r="W6" s="2">
        <f>INT($C6-SUMIF($G6:V6,1,$G$2:V$2)&gt;=W$2)</f>
        <v>0</v>
      </c>
      <c r="X6" s="2">
        <f>INT($C6-SUMIF($G6:W6,1,$G$2:W$2)&gt;=X$2)</f>
        <v>0</v>
      </c>
      <c r="Y6" s="2">
        <f>INT($C6-SUMIF($G6:X6,1,$G$2:X$2)&gt;=Y$2)</f>
        <v>1</v>
      </c>
    </row>
    <row r="7" spans="1:34" x14ac:dyDescent="0.2">
      <c r="A7" s="1" t="s">
        <v>13</v>
      </c>
      <c r="B7" s="1" t="s">
        <v>12</v>
      </c>
      <c r="C7">
        <f>C1+C2+C2</f>
        <v>48319</v>
      </c>
      <c r="E7" s="1" t="s">
        <v>27</v>
      </c>
      <c r="G7" s="2">
        <f t="shared" si="1"/>
        <v>1</v>
      </c>
      <c r="H7" s="2">
        <f>INT($C7-SUMIF($G7:G7,1,$G$2:G$2)&gt;=H$2)</f>
        <v>0</v>
      </c>
      <c r="I7" s="2">
        <f>INT($C7-SUMIF($G7:H7,1,$G$2:H$2)&gt;=I$2)</f>
        <v>1</v>
      </c>
      <c r="J7" s="2">
        <f>INT($C7-SUMIF($G7:I7,1,$G$2:I$2)&gt;=J$2)</f>
        <v>1</v>
      </c>
      <c r="K7" t="s">
        <v>36</v>
      </c>
      <c r="L7" s="2">
        <f>INT($C7-SUMIF($G7:K7,1,$G$2:K$2)&gt;=L$2)</f>
        <v>1</v>
      </c>
      <c r="M7" s="2">
        <f>INT($C7-SUMIF($G7:L7,1,$G$2:L$2)&gt;=M$2)</f>
        <v>1</v>
      </c>
      <c r="N7" s="2">
        <f>INT($C7-SUMIF($G7:M7,1,$G$2:M$2)&gt;=N$2)</f>
        <v>0</v>
      </c>
      <c r="O7" s="2">
        <f>INT($C7-SUMIF($G7:N7,1,$G$2:N$2)&gt;=O$2)</f>
        <v>0</v>
      </c>
      <c r="P7" t="s">
        <v>36</v>
      </c>
      <c r="Q7" s="2">
        <f>INT($C7-SUMIF($G7:P7,1,$G$2:P$2)&gt;=Q$2)</f>
        <v>1</v>
      </c>
      <c r="R7" s="2">
        <f>INT($C7-SUMIF($G7:Q7,1,$G$2:Q$2)&gt;=R$2)</f>
        <v>0</v>
      </c>
      <c r="S7" s="2">
        <f>INT($C7-SUMIF($G7:R7,1,$G$2:R$2)&gt;=S$2)</f>
        <v>1</v>
      </c>
      <c r="T7" s="2">
        <f>INT($C7-SUMIF($G7:S7,1,$G$2:S$2)&gt;=T$2)</f>
        <v>1</v>
      </c>
      <c r="U7" t="s">
        <v>36</v>
      </c>
      <c r="V7" s="2">
        <f>INT($C7-SUMIF($G7:U7,1,$G$2:U$2)&gt;=V$2)</f>
        <v>1</v>
      </c>
      <c r="W7" s="2">
        <f>INT($C7-SUMIF($G7:V7,1,$G$2:V$2)&gt;=W$2)</f>
        <v>1</v>
      </c>
      <c r="X7" s="2">
        <f>INT($C7-SUMIF($G7:W7,1,$G$2:W$2)&gt;=X$2)</f>
        <v>1</v>
      </c>
      <c r="Y7" s="2">
        <f>INT($C7-SUMIF($G7:X7,1,$G$2:X$2)&gt;=Y$2)</f>
        <v>1</v>
      </c>
    </row>
    <row r="8" spans="1:34" x14ac:dyDescent="0.2">
      <c r="A8" s="1" t="s">
        <v>14</v>
      </c>
      <c r="B8" s="1" t="s">
        <v>16</v>
      </c>
      <c r="C8">
        <f>C2-C1</f>
        <v>21779</v>
      </c>
      <c r="E8" s="1" t="s">
        <v>28</v>
      </c>
      <c r="G8" s="2">
        <f t="shared" si="1"/>
        <v>0</v>
      </c>
      <c r="H8" s="2">
        <f>INT($C8-SUMIF($G8:G8,1,$G$2:G$2)&gt;=H$2)</f>
        <v>1</v>
      </c>
      <c r="I8" s="2">
        <f>INT($C8-SUMIF($G8:H8,1,$G$2:H$2)&gt;=I$2)</f>
        <v>0</v>
      </c>
      <c r="J8" s="2">
        <f>INT($C8-SUMIF($G8:I8,1,$G$2:I$2)&gt;=J$2)</f>
        <v>1</v>
      </c>
      <c r="K8" t="s">
        <v>36</v>
      </c>
      <c r="L8" s="2">
        <f>INT($C8-SUMIF($G8:K8,1,$G$2:K$2)&gt;=L$2)</f>
        <v>0</v>
      </c>
      <c r="M8" s="2">
        <f>INT($C8-SUMIF($G8:L8,1,$G$2:L$2)&gt;=M$2)</f>
        <v>1</v>
      </c>
      <c r="N8" s="2">
        <f>INT($C8-SUMIF($G8:M8,1,$G$2:M$2)&gt;=N$2)</f>
        <v>0</v>
      </c>
      <c r="O8" s="2">
        <f>INT($C8-SUMIF($G8:N8,1,$G$2:N$2)&gt;=O$2)</f>
        <v>1</v>
      </c>
      <c r="P8" t="s">
        <v>36</v>
      </c>
      <c r="Q8" s="2">
        <f>INT($C8-SUMIF($G8:P8,1,$G$2:P$2)&gt;=Q$2)</f>
        <v>0</v>
      </c>
      <c r="R8" s="2">
        <f>INT($C8-SUMIF($G8:Q8,1,$G$2:Q$2)&gt;=R$2)</f>
        <v>0</v>
      </c>
      <c r="S8" s="2">
        <f>INT($C8-SUMIF($G8:R8,1,$G$2:R$2)&gt;=S$2)</f>
        <v>0</v>
      </c>
      <c r="T8" s="2">
        <f>INT($C8-SUMIF($G8:S8,1,$G$2:S$2)&gt;=T$2)</f>
        <v>1</v>
      </c>
      <c r="U8" t="s">
        <v>36</v>
      </c>
      <c r="V8" s="2">
        <f>INT($C8-SUMIF($G8:U8,1,$G$2:U$2)&gt;=V$2)</f>
        <v>0</v>
      </c>
      <c r="W8" s="2">
        <f>INT($C8-SUMIF($G8:V8,1,$G$2:V$2)&gt;=W$2)</f>
        <v>0</v>
      </c>
      <c r="X8" s="2">
        <f>INT($C8-SUMIF($G8:W8,1,$G$2:W$2)&gt;=X$2)</f>
        <v>1</v>
      </c>
      <c r="Y8" s="2">
        <f>INT($C8-SUMIF($G8:X8,1,$G$2:X$2)&gt;=Y$2)</f>
        <v>1</v>
      </c>
    </row>
    <row r="9" spans="1:34" x14ac:dyDescent="0.2">
      <c r="A9" s="1" t="s">
        <v>15</v>
      </c>
      <c r="B9" s="1" t="s">
        <v>17</v>
      </c>
      <c r="C9">
        <f>65536 - C7</f>
        <v>17217</v>
      </c>
      <c r="E9" s="1" t="s">
        <v>29</v>
      </c>
      <c r="G9" s="2">
        <f t="shared" si="1"/>
        <v>0</v>
      </c>
      <c r="H9" s="2">
        <f>INT($C9-SUMIF($G9:G9,1,$G$2:G$2)&gt;=H$2)</f>
        <v>1</v>
      </c>
      <c r="I9" s="2">
        <f>INT($C9-SUMIF($G9:H9,1,$G$2:H$2)&gt;=I$2)</f>
        <v>0</v>
      </c>
      <c r="J9" s="2">
        <f>INT($C9-SUMIF($G9:I9,1,$G$2:I$2)&gt;=J$2)</f>
        <v>0</v>
      </c>
      <c r="K9" t="s">
        <v>36</v>
      </c>
      <c r="L9" s="2">
        <f>INT($C9-SUMIF($G9:K9,1,$G$2:K$2)&gt;=L$2)</f>
        <v>0</v>
      </c>
      <c r="M9" s="2">
        <f>INT($C9-SUMIF($G9:L9,1,$G$2:L$2)&gt;=M$2)</f>
        <v>0</v>
      </c>
      <c r="N9" s="2">
        <f>INT($C9-SUMIF($G9:M9,1,$G$2:M$2)&gt;=N$2)</f>
        <v>1</v>
      </c>
      <c r="O9" s="2">
        <f>INT($C9-SUMIF($G9:N9,1,$G$2:N$2)&gt;=O$2)</f>
        <v>1</v>
      </c>
      <c r="P9" t="s">
        <v>36</v>
      </c>
      <c r="Q9" s="2">
        <f>INT($C9-SUMIF($G9:P9,1,$G$2:P$2)&gt;=Q$2)</f>
        <v>0</v>
      </c>
      <c r="R9" s="2">
        <f>INT($C9-SUMIF($G9:Q9,1,$G$2:Q$2)&gt;=R$2)</f>
        <v>1</v>
      </c>
      <c r="S9" s="2">
        <f>INT($C9-SUMIF($G9:R9,1,$G$2:R$2)&gt;=S$2)</f>
        <v>0</v>
      </c>
      <c r="T9" s="2">
        <f>INT($C9-SUMIF($G9:S9,1,$G$2:S$2)&gt;=T$2)</f>
        <v>0</v>
      </c>
      <c r="U9" t="s">
        <v>36</v>
      </c>
      <c r="V9" s="2">
        <f>INT($C9-SUMIF($G9:U9,1,$G$2:U$2)&gt;=V$2)</f>
        <v>0</v>
      </c>
      <c r="W9" s="2">
        <f>INT($C9-SUMIF($G9:V9,1,$G$2:V$2)&gt;=W$2)</f>
        <v>0</v>
      </c>
      <c r="X9" s="2">
        <f>INT($C9-SUMIF($G9:W9,1,$G$2:W$2)&gt;=X$2)</f>
        <v>0</v>
      </c>
      <c r="Y9" s="2">
        <f>INT($C9-SUMIF($G9:X9,1,$G$2:X$2)&gt;=Y$2)</f>
        <v>1</v>
      </c>
    </row>
    <row r="10" spans="1:34" x14ac:dyDescent="0.2">
      <c r="A10" s="1" t="s">
        <v>4</v>
      </c>
      <c r="B10" s="1" t="s">
        <v>18</v>
      </c>
      <c r="C10">
        <f>-C4</f>
        <v>-1587</v>
      </c>
      <c r="D10">
        <f>65536+C10</f>
        <v>63949</v>
      </c>
      <c r="E10" s="1" t="s">
        <v>30</v>
      </c>
      <c r="F10" s="1" t="s">
        <v>37</v>
      </c>
      <c r="G10" s="2">
        <f>INT(D10&gt;=G$2)</f>
        <v>1</v>
      </c>
      <c r="H10" s="2">
        <f>INT($D10-SUMIF($G10:G10,1,$G$2:G$2)&gt;=H$2)</f>
        <v>1</v>
      </c>
      <c r="I10" s="2">
        <f>INT($D10-SUMIF($G10:H10,1,$G$2:H$2)&gt;=I$2)</f>
        <v>1</v>
      </c>
      <c r="J10" s="2">
        <f>INT($D10-SUMIF($G10:I10,1,$G$2:I$2)&gt;=J$2)</f>
        <v>1</v>
      </c>
      <c r="K10" t="s">
        <v>36</v>
      </c>
      <c r="L10" s="2">
        <f>INT($D10-SUMIF($G10:K10,1,$G$2:K$2)&gt;=L$2)</f>
        <v>1</v>
      </c>
      <c r="M10" s="2">
        <f>INT($D10-SUMIF($G10:L10,1,$G$2:L$2)&gt;=M$2)</f>
        <v>0</v>
      </c>
      <c r="N10" s="2">
        <f>INT($D10-SUMIF($G10:M10,1,$G$2:M$2)&gt;=N$2)</f>
        <v>0</v>
      </c>
      <c r="O10" s="2">
        <f>INT($D10-SUMIF($G10:N10,1,$G$2:N$2)&gt;=O$2)</f>
        <v>1</v>
      </c>
      <c r="P10" t="s">
        <v>36</v>
      </c>
      <c r="Q10" s="2">
        <f>INT($D10-SUMIF($G10:P10,1,$G$2:P$2)&gt;=Q$2)</f>
        <v>1</v>
      </c>
      <c r="R10" s="2">
        <f>INT($D10-SUMIF($G10:Q10,1,$G$2:Q$2)&gt;=R$2)</f>
        <v>1</v>
      </c>
      <c r="S10" s="2">
        <f>INT($D10-SUMIF($G10:R10,1,$G$2:R$2)&gt;=S$2)</f>
        <v>0</v>
      </c>
      <c r="T10" s="2">
        <f>INT($D10-SUMIF($G10:S10,1,$G$2:S$2)&gt;=T$2)</f>
        <v>0</v>
      </c>
      <c r="U10" t="s">
        <v>36</v>
      </c>
      <c r="V10" s="2">
        <f>INT($D10-SUMIF($G10:U10,1,$G$2:U$2)&gt;=V$2)</f>
        <v>1</v>
      </c>
      <c r="W10" s="2">
        <f>INT($D10-SUMIF($G10:V10,1,$G$2:V$2)&gt;=W$2)</f>
        <v>1</v>
      </c>
      <c r="X10" s="2">
        <f>INT($D10-SUMIF($G10:W10,1,$G$2:W$2)&gt;=X$2)</f>
        <v>0</v>
      </c>
      <c r="Y10" s="2">
        <f>INT($D10-SUMIF($G10:X10,1,$G$2:X$2)&gt;=Y$2)</f>
        <v>1</v>
      </c>
    </row>
    <row r="11" spans="1:34" x14ac:dyDescent="0.2">
      <c r="A11" s="1" t="s">
        <v>5</v>
      </c>
      <c r="B11" s="1" t="s">
        <v>19</v>
      </c>
      <c r="C11">
        <f>-C5</f>
        <v>-23366</v>
      </c>
      <c r="D11">
        <f t="shared" ref="D11:D15" si="2">65536+C11</f>
        <v>42170</v>
      </c>
      <c r="E11" s="1" t="s">
        <v>31</v>
      </c>
      <c r="F11" s="1" t="s">
        <v>38</v>
      </c>
      <c r="G11" s="2">
        <f t="shared" ref="G11:G15" si="3">INT(D11&gt;=G$2)</f>
        <v>1</v>
      </c>
      <c r="H11" s="2">
        <f>INT($D11-SUMIF($G11:G11,1,$G$2:G$2)&gt;=H$2)</f>
        <v>0</v>
      </c>
      <c r="I11" s="2">
        <f>INT($D11-SUMIF($G11:H11,1,$G$2:H$2)&gt;=I$2)</f>
        <v>1</v>
      </c>
      <c r="J11" s="2">
        <f>INT($D11-SUMIF($G11:I11,1,$G$2:I$2)&gt;=J$2)</f>
        <v>0</v>
      </c>
      <c r="K11" t="s">
        <v>36</v>
      </c>
      <c r="L11" s="2">
        <f>INT($D11-SUMIF($G11:K11,1,$G$2:K$2)&gt;=L$2)</f>
        <v>0</v>
      </c>
      <c r="M11" s="2">
        <f>INT($D11-SUMIF($G11:L11,1,$G$2:L$2)&gt;=M$2)</f>
        <v>1</v>
      </c>
      <c r="N11" s="2">
        <f>INT($D11-SUMIF($G11:M11,1,$G$2:M$2)&gt;=N$2)</f>
        <v>0</v>
      </c>
      <c r="O11" s="2">
        <f>INT($D11-SUMIF($G11:N11,1,$G$2:N$2)&gt;=O$2)</f>
        <v>0</v>
      </c>
      <c r="P11" t="s">
        <v>36</v>
      </c>
      <c r="Q11" s="2">
        <f>INT($D11-SUMIF($G11:P11,1,$G$2:P$2)&gt;=Q$2)</f>
        <v>1</v>
      </c>
      <c r="R11" s="2">
        <f>INT($D11-SUMIF($G11:Q11,1,$G$2:Q$2)&gt;=R$2)</f>
        <v>0</v>
      </c>
      <c r="S11" s="2">
        <f>INT($D11-SUMIF($G11:R11,1,$G$2:R$2)&gt;=S$2)</f>
        <v>1</v>
      </c>
      <c r="T11" s="2">
        <f>INT($D11-SUMIF($G11:S11,1,$G$2:S$2)&gt;=T$2)</f>
        <v>1</v>
      </c>
      <c r="U11" t="s">
        <v>36</v>
      </c>
      <c r="V11" s="2">
        <f>INT($D11-SUMIF($G11:U11,1,$G$2:U$2)&gt;=V$2)</f>
        <v>1</v>
      </c>
      <c r="W11" s="2">
        <f>INT($D11-SUMIF($G11:V11,1,$G$2:V$2)&gt;=W$2)</f>
        <v>0</v>
      </c>
      <c r="X11" s="2">
        <f>INT($D11-SUMIF($G11:W11,1,$G$2:W$2)&gt;=X$2)</f>
        <v>1</v>
      </c>
      <c r="Y11" s="2">
        <f>INT($D11-SUMIF($G11:X11,1,$G$2:X$2)&gt;=Y$2)</f>
        <v>0</v>
      </c>
    </row>
    <row r="12" spans="1:34" x14ac:dyDescent="0.2">
      <c r="A12" s="1" t="s">
        <v>6</v>
      </c>
      <c r="B12" s="1" t="s">
        <v>20</v>
      </c>
      <c r="C12">
        <f t="shared" ref="C12:C15" si="4">-C6</f>
        <v>-24953</v>
      </c>
      <c r="D12">
        <f t="shared" si="2"/>
        <v>40583</v>
      </c>
      <c r="E12" s="1" t="s">
        <v>32</v>
      </c>
      <c r="F12" s="1" t="s">
        <v>39</v>
      </c>
      <c r="G12" s="2">
        <f t="shared" si="3"/>
        <v>1</v>
      </c>
      <c r="H12" s="2">
        <f>INT($D12-SUMIF($G12:G12,1,$G$2:G$2)&gt;=H$2)</f>
        <v>0</v>
      </c>
      <c r="I12" s="2">
        <f>INT($D12-SUMIF($G12:H12,1,$G$2:H$2)&gt;=I$2)</f>
        <v>0</v>
      </c>
      <c r="J12" s="2">
        <f>INT($D12-SUMIF($G12:I12,1,$G$2:I$2)&gt;=J$2)</f>
        <v>1</v>
      </c>
      <c r="K12" t="s">
        <v>36</v>
      </c>
      <c r="L12" s="2">
        <f>INT($D12-SUMIF($G12:K12,1,$G$2:K$2)&gt;=L$2)</f>
        <v>1</v>
      </c>
      <c r="M12" s="2">
        <f>INT($D12-SUMIF($G12:L12,1,$G$2:L$2)&gt;=M$2)</f>
        <v>1</v>
      </c>
      <c r="N12" s="2">
        <f>INT($D12-SUMIF($G12:M12,1,$G$2:M$2)&gt;=N$2)</f>
        <v>1</v>
      </c>
      <c r="O12" s="2">
        <f>INT($D12-SUMIF($G12:N12,1,$G$2:N$2)&gt;=O$2)</f>
        <v>0</v>
      </c>
      <c r="P12" t="s">
        <v>36</v>
      </c>
      <c r="Q12" s="2">
        <f>INT($D12-SUMIF($G12:P12,1,$G$2:P$2)&gt;=Q$2)</f>
        <v>1</v>
      </c>
      <c r="R12" s="2">
        <f>INT($D12-SUMIF($G12:Q12,1,$G$2:Q$2)&gt;=R$2)</f>
        <v>0</v>
      </c>
      <c r="S12" s="2">
        <f>INT($D12-SUMIF($G12:R12,1,$G$2:R$2)&gt;=S$2)</f>
        <v>0</v>
      </c>
      <c r="T12" s="2">
        <f>INT($D12-SUMIF($G12:S12,1,$G$2:S$2)&gt;=T$2)</f>
        <v>0</v>
      </c>
      <c r="U12" t="s">
        <v>36</v>
      </c>
      <c r="V12" s="2">
        <f>INT($D12-SUMIF($G12:U12,1,$G$2:U$2)&gt;=V$2)</f>
        <v>0</v>
      </c>
      <c r="W12" s="2">
        <f>INT($D12-SUMIF($G12:V12,1,$G$2:V$2)&gt;=W$2)</f>
        <v>1</v>
      </c>
      <c r="X12" s="2">
        <f>INT($D12-SUMIF($G12:W12,1,$G$2:W$2)&gt;=X$2)</f>
        <v>1</v>
      </c>
      <c r="Y12" s="2">
        <f>INT($D12-SUMIF($G12:X12,1,$G$2:X$2)&gt;=Y$2)</f>
        <v>1</v>
      </c>
    </row>
    <row r="13" spans="1:34" x14ac:dyDescent="0.2">
      <c r="A13" s="1" t="s">
        <v>7</v>
      </c>
      <c r="B13" s="1" t="s">
        <v>21</v>
      </c>
      <c r="C13">
        <f>-C7</f>
        <v>-48319</v>
      </c>
      <c r="D13">
        <f t="shared" si="2"/>
        <v>17217</v>
      </c>
      <c r="E13" s="1" t="s">
        <v>33</v>
      </c>
      <c r="F13" s="1" t="s">
        <v>40</v>
      </c>
      <c r="G13" s="2">
        <f t="shared" si="3"/>
        <v>0</v>
      </c>
      <c r="H13" s="2">
        <f>INT($D13-SUMIF($G13:G13,1,$G$2:G$2)&gt;=H$2)</f>
        <v>1</v>
      </c>
      <c r="I13" s="2">
        <f>INT($D13-SUMIF($G13:H13,1,$G$2:H$2)&gt;=I$2)</f>
        <v>0</v>
      </c>
      <c r="J13" s="2">
        <f>INT($D13-SUMIF($G13:I13,1,$G$2:I$2)&gt;=J$2)</f>
        <v>0</v>
      </c>
      <c r="K13" t="s">
        <v>36</v>
      </c>
      <c r="L13" s="2">
        <f>INT($D13-SUMIF($G13:K13,1,$G$2:K$2)&gt;=L$2)</f>
        <v>0</v>
      </c>
      <c r="M13" s="2">
        <f>INT($D13-SUMIF($G13:L13,1,$G$2:L$2)&gt;=M$2)</f>
        <v>0</v>
      </c>
      <c r="N13" s="2">
        <f>INT($D13-SUMIF($G13:M13,1,$G$2:M$2)&gt;=N$2)</f>
        <v>1</v>
      </c>
      <c r="O13" s="2">
        <f>INT($D13-SUMIF($G13:N13,1,$G$2:N$2)&gt;=O$2)</f>
        <v>1</v>
      </c>
      <c r="P13" t="s">
        <v>36</v>
      </c>
      <c r="Q13" s="2">
        <f>INT($D13-SUMIF($G13:P13,1,$G$2:P$2)&gt;=Q$2)</f>
        <v>0</v>
      </c>
      <c r="R13" s="2">
        <f>INT($D13-SUMIF($G13:Q13,1,$G$2:Q$2)&gt;=R$2)</f>
        <v>1</v>
      </c>
      <c r="S13" s="2">
        <f>INT($D13-SUMIF($G13:R13,1,$G$2:R$2)&gt;=S$2)</f>
        <v>0</v>
      </c>
      <c r="T13" s="2">
        <f>INT($D13-SUMIF($G13:S13,1,$G$2:S$2)&gt;=T$2)</f>
        <v>0</v>
      </c>
      <c r="U13" t="s">
        <v>36</v>
      </c>
      <c r="V13" s="2">
        <f>INT($D13-SUMIF($G13:U13,1,$G$2:U$2)&gt;=V$2)</f>
        <v>0</v>
      </c>
      <c r="W13" s="2">
        <f>INT($D13-SUMIF($G13:V13,1,$G$2:V$2)&gt;=W$2)</f>
        <v>0</v>
      </c>
      <c r="X13" s="2">
        <f>INT($D13-SUMIF($G13:W13,1,$G$2:W$2)&gt;=X$2)</f>
        <v>0</v>
      </c>
      <c r="Y13" s="2">
        <f>INT($D13-SUMIF($G13:X13,1,$G$2:X$2)&gt;=Y$2)</f>
        <v>1</v>
      </c>
    </row>
    <row r="14" spans="1:34" x14ac:dyDescent="0.2">
      <c r="A14" s="1" t="s">
        <v>8</v>
      </c>
      <c r="B14" s="1" t="s">
        <v>22</v>
      </c>
      <c r="C14">
        <f t="shared" si="4"/>
        <v>-21779</v>
      </c>
      <c r="D14">
        <f t="shared" si="2"/>
        <v>43757</v>
      </c>
      <c r="E14" s="1" t="s">
        <v>34</v>
      </c>
      <c r="F14" s="1" t="s">
        <v>41</v>
      </c>
      <c r="G14" s="2">
        <f t="shared" si="3"/>
        <v>1</v>
      </c>
      <c r="H14" s="2">
        <f>INT($D14-SUMIF($G14:G14,1,$G$2:G$2)&gt;=H$2)</f>
        <v>0</v>
      </c>
      <c r="I14" s="2">
        <f>INT($D14-SUMIF($G14:H14,1,$G$2:H$2)&gt;=I$2)</f>
        <v>1</v>
      </c>
      <c r="J14" s="2">
        <f>INT($D14-SUMIF($G14:I14,1,$G$2:I$2)&gt;=J$2)</f>
        <v>0</v>
      </c>
      <c r="K14" t="s">
        <v>36</v>
      </c>
      <c r="L14" s="2">
        <f>INT($D14-SUMIF($G14:K14,1,$G$2:K$2)&gt;=L$2)</f>
        <v>1</v>
      </c>
      <c r="M14" s="2">
        <f>INT($D14-SUMIF($G14:L14,1,$G$2:L$2)&gt;=M$2)</f>
        <v>0</v>
      </c>
      <c r="N14" s="2">
        <f>INT($D14-SUMIF($G14:M14,1,$G$2:M$2)&gt;=N$2)</f>
        <v>1</v>
      </c>
      <c r="O14" s="2">
        <f>INT($D14-SUMIF($G14:N14,1,$G$2:N$2)&gt;=O$2)</f>
        <v>0</v>
      </c>
      <c r="P14" t="s">
        <v>36</v>
      </c>
      <c r="Q14" s="2">
        <f>INT($D14-SUMIF($G14:P14,1,$G$2:P$2)&gt;=Q$2)</f>
        <v>1</v>
      </c>
      <c r="R14" s="2">
        <f>INT($D14-SUMIF($G14:Q14,1,$G$2:Q$2)&gt;=R$2)</f>
        <v>1</v>
      </c>
      <c r="S14" s="2">
        <f>INT($D14-SUMIF($G14:R14,1,$G$2:R$2)&gt;=S$2)</f>
        <v>1</v>
      </c>
      <c r="T14" s="2">
        <f>INT($D14-SUMIF($G14:S14,1,$G$2:S$2)&gt;=T$2)</f>
        <v>0</v>
      </c>
      <c r="U14" t="s">
        <v>36</v>
      </c>
      <c r="V14" s="2">
        <f>INT($D14-SUMIF($G14:U14,1,$G$2:U$2)&gt;=V$2)</f>
        <v>1</v>
      </c>
      <c r="W14" s="2">
        <f>INT($D14-SUMIF($G14:V14,1,$G$2:V$2)&gt;=W$2)</f>
        <v>1</v>
      </c>
      <c r="X14" s="2">
        <f>INT($D14-SUMIF($G14:W14,1,$G$2:W$2)&gt;=X$2)</f>
        <v>0</v>
      </c>
      <c r="Y14" s="2">
        <f>INT($D14-SUMIF($G14:X14,1,$G$2:X$2)&gt;=Y$2)</f>
        <v>1</v>
      </c>
    </row>
    <row r="15" spans="1:34" x14ac:dyDescent="0.2">
      <c r="A15" s="1" t="s">
        <v>9</v>
      </c>
      <c r="B15" s="1" t="s">
        <v>23</v>
      </c>
      <c r="C15">
        <f t="shared" si="4"/>
        <v>-17217</v>
      </c>
      <c r="D15">
        <f t="shared" si="2"/>
        <v>48319</v>
      </c>
      <c r="E15" s="1" t="s">
        <v>35</v>
      </c>
      <c r="F15" s="1" t="s">
        <v>42</v>
      </c>
      <c r="G15" s="2">
        <f t="shared" si="3"/>
        <v>1</v>
      </c>
      <c r="H15" s="2">
        <f>INT($D15-SUMIF($G15:G15,1,$G$2:G$2)&gt;=H$2)</f>
        <v>0</v>
      </c>
      <c r="I15" s="2">
        <f>INT($D15-SUMIF($G15:H15,1,$G$2:H$2)&gt;=I$2)</f>
        <v>1</v>
      </c>
      <c r="J15" s="2">
        <f>INT($D15-SUMIF($G15:I15,1,$G$2:I$2)&gt;=J$2)</f>
        <v>1</v>
      </c>
      <c r="K15" t="s">
        <v>36</v>
      </c>
      <c r="L15" s="2">
        <f>INT($D15-SUMIF($G15:K15,1,$G$2:K$2)&gt;=L$2)</f>
        <v>1</v>
      </c>
      <c r="M15" s="2">
        <f>INT($D15-SUMIF($G15:L15,1,$G$2:L$2)&gt;=M$2)</f>
        <v>1</v>
      </c>
      <c r="N15" s="2">
        <f>INT($D15-SUMIF($G15:M15,1,$G$2:M$2)&gt;=N$2)</f>
        <v>0</v>
      </c>
      <c r="O15" s="2">
        <f>INT($D15-SUMIF($G15:N15,1,$G$2:N$2)&gt;=O$2)</f>
        <v>0</v>
      </c>
      <c r="P15" t="s">
        <v>36</v>
      </c>
      <c r="Q15" s="2">
        <f>INT($D15-SUMIF($G15:P15,1,$G$2:P$2)&gt;=Q$2)</f>
        <v>1</v>
      </c>
      <c r="R15" s="2">
        <f>INT($D15-SUMIF($G15:Q15,1,$G$2:Q$2)&gt;=R$2)</f>
        <v>0</v>
      </c>
      <c r="S15" s="2">
        <f>INT($D15-SUMIF($G15:R15,1,$G$2:R$2)&gt;=S$2)</f>
        <v>1</v>
      </c>
      <c r="T15" s="2">
        <f>INT($D15-SUMIF($G15:S15,1,$G$2:S$2)&gt;=T$2)</f>
        <v>1</v>
      </c>
      <c r="U15" t="s">
        <v>36</v>
      </c>
      <c r="V15" s="2">
        <f>INT($D15-SUMIF($G15:U15,1,$G$2:U$2)&gt;=V$2)</f>
        <v>1</v>
      </c>
      <c r="W15" s="2">
        <f>INT($D15-SUMIF($G15:V15,1,$G$2:V$2)&gt;=W$2)</f>
        <v>1</v>
      </c>
      <c r="X15" s="2">
        <f>INT($D15-SUMIF($G15:W15,1,$G$2:W$2)&gt;=X$2)</f>
        <v>1</v>
      </c>
      <c r="Y15" s="2">
        <f>INT($D15-SUMIF($G15:X15,1,$G$2:X$2)&gt;=Y$2)</f>
        <v>1</v>
      </c>
    </row>
    <row r="16" spans="1:34" x14ac:dyDescent="0.2">
      <c r="E16" s="1"/>
    </row>
    <row r="17" spans="1:37" x14ac:dyDescent="0.2">
      <c r="E17" t="s">
        <v>52</v>
      </c>
      <c r="F17" s="2">
        <f t="shared" ref="F17:I17" si="5">INT(SUM(G17:G19)&gt;1)</f>
        <v>0</v>
      </c>
      <c r="G17" s="2">
        <f t="shared" si="5"/>
        <v>0</v>
      </c>
      <c r="H17" s="2">
        <f t="shared" si="5"/>
        <v>0</v>
      </c>
      <c r="I17" s="2">
        <f t="shared" si="5"/>
        <v>1</v>
      </c>
      <c r="J17" s="2">
        <f>INT(SUM(L17:L19)&gt;1)</f>
        <v>1</v>
      </c>
      <c r="K17" s="7">
        <f>J17</f>
        <v>1</v>
      </c>
      <c r="L17" s="2">
        <f t="shared" ref="L17:N17" si="6">INT(SUM(M17:M19)&gt;1)</f>
        <v>1</v>
      </c>
      <c r="M17" s="2">
        <f t="shared" si="6"/>
        <v>1</v>
      </c>
      <c r="N17" s="2">
        <f t="shared" si="6"/>
        <v>0</v>
      </c>
      <c r="O17" s="2">
        <f>INT(SUM(Q17:Q19)&gt;1)</f>
        <v>0</v>
      </c>
      <c r="P17" s="7">
        <f>O17</f>
        <v>0</v>
      </c>
      <c r="Q17" s="2">
        <f t="shared" ref="Q17:W17" si="7">INT(SUM(R17:R19)&gt;1)</f>
        <v>0</v>
      </c>
      <c r="R17" s="2">
        <f t="shared" si="7"/>
        <v>0</v>
      </c>
      <c r="S17" s="2">
        <f t="shared" si="7"/>
        <v>0</v>
      </c>
      <c r="T17" s="2">
        <f>INT(SUM(V17:V19)&gt;1)</f>
        <v>0</v>
      </c>
      <c r="U17" s="7">
        <f>T17</f>
        <v>0</v>
      </c>
      <c r="V17" s="2">
        <f t="shared" si="7"/>
        <v>1</v>
      </c>
      <c r="W17" s="2">
        <f t="shared" si="7"/>
        <v>1</v>
      </c>
      <c r="X17" s="2">
        <f>INT(SUM(Y17:Y19)&gt;1)</f>
        <v>0</v>
      </c>
      <c r="Y17">
        <v>0</v>
      </c>
    </row>
    <row r="18" spans="1:37" x14ac:dyDescent="0.2">
      <c r="E18" s="1" t="s">
        <v>47</v>
      </c>
      <c r="G18">
        <f>G4</f>
        <v>0</v>
      </c>
      <c r="H18">
        <f t="shared" ref="H18:Y18" si="8">H4</f>
        <v>0</v>
      </c>
      <c r="I18">
        <f t="shared" si="8"/>
        <v>0</v>
      </c>
      <c r="J18">
        <f t="shared" si="8"/>
        <v>0</v>
      </c>
      <c r="K18" t="str">
        <f t="shared" si="8"/>
        <v>.</v>
      </c>
      <c r="L18">
        <f t="shared" si="8"/>
        <v>0</v>
      </c>
      <c r="M18">
        <f t="shared" si="8"/>
        <v>1</v>
      </c>
      <c r="N18">
        <f t="shared" si="8"/>
        <v>1</v>
      </c>
      <c r="O18">
        <f t="shared" si="8"/>
        <v>0</v>
      </c>
      <c r="P18" t="str">
        <f t="shared" si="8"/>
        <v>.</v>
      </c>
      <c r="Q18">
        <f t="shared" si="8"/>
        <v>0</v>
      </c>
      <c r="R18">
        <f t="shared" si="8"/>
        <v>0</v>
      </c>
      <c r="S18">
        <f t="shared" si="8"/>
        <v>1</v>
      </c>
      <c r="T18">
        <f t="shared" si="8"/>
        <v>1</v>
      </c>
      <c r="U18" t="str">
        <f t="shared" si="8"/>
        <v>.</v>
      </c>
      <c r="V18">
        <f t="shared" si="8"/>
        <v>0</v>
      </c>
      <c r="W18">
        <f t="shared" si="8"/>
        <v>0</v>
      </c>
      <c r="X18">
        <f t="shared" si="8"/>
        <v>1</v>
      </c>
      <c r="Y18">
        <f t="shared" si="8"/>
        <v>1</v>
      </c>
      <c r="AE18" s="6" t="s">
        <v>56</v>
      </c>
      <c r="AG18">
        <f>C4</f>
        <v>1587</v>
      </c>
      <c r="AI18" s="9" t="str" cm="1">
        <f t="array" ref="AI18">_xlfn.IFS(AND(AG18&gt;0,AG19&gt;0,AB23=1),$AH$2,AND(AG18&lt;0,AG19&lt;0,AB23=0),$AH$4,AND(AA21=AG21,AD23=1),$AH$3,TRUE,$AH$1)</f>
        <v>Результат корректный</v>
      </c>
      <c r="AJ18" s="9"/>
      <c r="AK18" s="9"/>
    </row>
    <row r="19" spans="1:37" x14ac:dyDescent="0.2">
      <c r="A19" s="1" t="s">
        <v>80</v>
      </c>
      <c r="D19" t="s">
        <v>55</v>
      </c>
      <c r="E19" t="s">
        <v>48</v>
      </c>
      <c r="G19">
        <f>G5</f>
        <v>0</v>
      </c>
      <c r="H19">
        <f t="shared" ref="H19:Y19" si="9">H5</f>
        <v>1</v>
      </c>
      <c r="I19">
        <f t="shared" si="9"/>
        <v>0</v>
      </c>
      <c r="J19">
        <f t="shared" si="9"/>
        <v>1</v>
      </c>
      <c r="K19" t="str">
        <f t="shared" si="9"/>
        <v>.</v>
      </c>
      <c r="L19">
        <f t="shared" si="9"/>
        <v>1</v>
      </c>
      <c r="M19">
        <f t="shared" si="9"/>
        <v>0</v>
      </c>
      <c r="N19">
        <f t="shared" si="9"/>
        <v>1</v>
      </c>
      <c r="O19">
        <f t="shared" si="9"/>
        <v>1</v>
      </c>
      <c r="P19" t="str">
        <f t="shared" si="9"/>
        <v>.</v>
      </c>
      <c r="Q19">
        <f t="shared" si="9"/>
        <v>0</v>
      </c>
      <c r="R19">
        <f t="shared" si="9"/>
        <v>1</v>
      </c>
      <c r="S19">
        <f t="shared" si="9"/>
        <v>0</v>
      </c>
      <c r="T19">
        <f t="shared" si="9"/>
        <v>0</v>
      </c>
      <c r="U19" t="str">
        <f t="shared" si="9"/>
        <v>.</v>
      </c>
      <c r="V19">
        <f t="shared" si="9"/>
        <v>0</v>
      </c>
      <c r="W19">
        <f t="shared" si="9"/>
        <v>1</v>
      </c>
      <c r="X19">
        <f t="shared" si="9"/>
        <v>1</v>
      </c>
      <c r="Y19">
        <f t="shared" si="9"/>
        <v>0</v>
      </c>
      <c r="AD19" s="1" t="s">
        <v>55</v>
      </c>
      <c r="AE19" s="6" t="s">
        <v>57</v>
      </c>
      <c r="AG19">
        <f>C5</f>
        <v>23366</v>
      </c>
      <c r="AI19" s="9"/>
      <c r="AJ19" s="9"/>
      <c r="AK19" s="9"/>
    </row>
    <row r="20" spans="1:37" x14ac:dyDescent="0.2">
      <c r="A20" s="1" t="s">
        <v>79</v>
      </c>
      <c r="E20" s="3" t="s">
        <v>49</v>
      </c>
      <c r="F20" s="3" t="s">
        <v>50</v>
      </c>
      <c r="G20" s="3" t="s">
        <v>51</v>
      </c>
      <c r="H20" s="3" t="s">
        <v>51</v>
      </c>
      <c r="I20" s="3" t="s">
        <v>51</v>
      </c>
      <c r="J20" s="3" t="s">
        <v>51</v>
      </c>
      <c r="K20" s="3" t="s">
        <v>51</v>
      </c>
      <c r="L20" s="3" t="s">
        <v>51</v>
      </c>
      <c r="M20" s="3" t="s">
        <v>51</v>
      </c>
      <c r="N20" s="3" t="s">
        <v>51</v>
      </c>
      <c r="O20" s="3" t="s">
        <v>51</v>
      </c>
      <c r="P20" s="3" t="s">
        <v>51</v>
      </c>
      <c r="Q20" s="3" t="s">
        <v>51</v>
      </c>
      <c r="R20" s="3" t="s">
        <v>51</v>
      </c>
      <c r="S20" s="3" t="s">
        <v>51</v>
      </c>
      <c r="T20" s="3" t="s">
        <v>51</v>
      </c>
      <c r="U20" s="3" t="s">
        <v>51</v>
      </c>
      <c r="V20" s="3" t="s">
        <v>51</v>
      </c>
      <c r="W20" s="3" t="s">
        <v>51</v>
      </c>
      <c r="X20" s="3" t="s">
        <v>51</v>
      </c>
      <c r="Y20" s="3" t="s">
        <v>51</v>
      </c>
      <c r="AE20" s="1" t="s">
        <v>65</v>
      </c>
      <c r="AF20" s="1" t="s">
        <v>65</v>
      </c>
      <c r="AG20" s="1" t="s">
        <v>66</v>
      </c>
      <c r="AI20" s="9"/>
      <c r="AJ20" s="9"/>
      <c r="AK20" s="9"/>
    </row>
    <row r="21" spans="1:37" x14ac:dyDescent="0.2">
      <c r="A21" s="1" t="s">
        <v>81</v>
      </c>
      <c r="E21" t="s">
        <v>43</v>
      </c>
      <c r="F21">
        <f>F17</f>
        <v>0</v>
      </c>
      <c r="G21">
        <f t="shared" ref="G21:X21" si="10">MOD(SUM(G17:G19),2)</f>
        <v>0</v>
      </c>
      <c r="H21">
        <f t="shared" si="10"/>
        <v>1</v>
      </c>
      <c r="I21">
        <f t="shared" si="10"/>
        <v>1</v>
      </c>
      <c r="J21">
        <f t="shared" si="10"/>
        <v>0</v>
      </c>
      <c r="K21" t="s">
        <v>36</v>
      </c>
      <c r="L21">
        <f t="shared" si="10"/>
        <v>0</v>
      </c>
      <c r="M21">
        <f t="shared" si="10"/>
        <v>0</v>
      </c>
      <c r="N21">
        <f t="shared" si="10"/>
        <v>0</v>
      </c>
      <c r="O21">
        <f t="shared" si="10"/>
        <v>1</v>
      </c>
      <c r="P21" t="s">
        <v>36</v>
      </c>
      <c r="Q21">
        <f t="shared" si="10"/>
        <v>0</v>
      </c>
      <c r="R21">
        <f t="shared" si="10"/>
        <v>1</v>
      </c>
      <c r="S21">
        <f t="shared" si="10"/>
        <v>1</v>
      </c>
      <c r="T21">
        <f t="shared" si="10"/>
        <v>1</v>
      </c>
      <c r="U21" t="s">
        <v>36</v>
      </c>
      <c r="V21">
        <f t="shared" si="10"/>
        <v>1</v>
      </c>
      <c r="W21">
        <f t="shared" si="10"/>
        <v>0</v>
      </c>
      <c r="X21">
        <f t="shared" si="10"/>
        <v>0</v>
      </c>
      <c r="Y21">
        <f>MOD(SUM(Y17:Y19),2)</f>
        <v>1</v>
      </c>
      <c r="Z21" s="4" t="s">
        <v>53</v>
      </c>
      <c r="AA21">
        <f>IF(G21=0,_xlfn.DECIMAL(G21&amp;H21&amp;I21&amp;J21&amp;L21&amp;M21&amp;N21&amp;O21&amp;Q21&amp;R21&amp;S21&amp;T21&amp;V21&amp;W21&amp;X21&amp;Y21,2),0-_xlfn.DECIMAL(H22&amp;I22&amp;J22&amp;L22&amp;M22&amp;N22&amp;O22&amp;Q22&amp;R22&amp;S22&amp;T22&amp;V22&amp;W22&amp;X22&amp;Y22,2))</f>
        <v>24953</v>
      </c>
      <c r="AB21" s="5" t="s">
        <v>64</v>
      </c>
      <c r="AG21">
        <f>AG19+AG18</f>
        <v>24953</v>
      </c>
      <c r="AH21" s="5" t="s">
        <v>64</v>
      </c>
    </row>
    <row r="22" spans="1:37" x14ac:dyDescent="0.2">
      <c r="A22" s="1" t="s">
        <v>82</v>
      </c>
      <c r="E22" t="s">
        <v>54</v>
      </c>
      <c r="G22" t="str">
        <f>IF($G21=1,1,"")</f>
        <v/>
      </c>
      <c r="H22" t="str">
        <f>IF($G21=1,IF(COUNTIF(I21:$Y21,1) &gt;= 1,ABS(1-H21),H21),"")</f>
        <v/>
      </c>
      <c r="I22" t="str">
        <f>IF($G21=1,IF(COUNTIF(J21:$Y21,1) &gt;= 1,ABS(1-I21),I21),"")</f>
        <v/>
      </c>
      <c r="J22" t="str">
        <f>IF($G21=1,IF(COUNTIF(K21:$Y21,1) &gt;= 1,ABS(1-J21),J21),"")</f>
        <v/>
      </c>
      <c r="K22" t="s">
        <v>36</v>
      </c>
      <c r="L22" t="str">
        <f>IF($G21=1,IF(COUNTIF(M21:$Y21,1) &gt;= 1,ABS(1-L21),L21),"")</f>
        <v/>
      </c>
      <c r="M22" t="str">
        <f>IF($G21=1,IF(COUNTIF(N21:$Y21,1) &gt;= 1,ABS(1-M21),M21),"")</f>
        <v/>
      </c>
      <c r="N22" t="str">
        <f>IF($G21=1,IF(COUNTIF(O21:$Y21,1) &gt;= 1,ABS(1-N21),N21),"")</f>
        <v/>
      </c>
      <c r="O22" t="str">
        <f>IF($G21=1,IF(COUNTIF(P21:$Y21,1) &gt;= 1,ABS(1-O21),O21),"")</f>
        <v/>
      </c>
      <c r="P22" t="s">
        <v>36</v>
      </c>
      <c r="Q22" t="str">
        <f>IF($G21=1,IF(COUNTIF(R21:$Y21,1) &gt;= 1,ABS(1-Q21),Q21),"")</f>
        <v/>
      </c>
      <c r="R22" t="str">
        <f>IF($G21=1,IF(COUNTIF(S21:$Y21,1) &gt;= 1,ABS(1-R21),R21),"")</f>
        <v/>
      </c>
      <c r="S22" t="str">
        <f>IF($G21=1,IF(COUNTIF(T21:$Y21,1) &gt;= 1,ABS(1-S21),S21),"")</f>
        <v/>
      </c>
      <c r="T22" t="str">
        <f>IF($G21=1,IF(COUNTIF(U21:$Y21,1) &gt;= 1,ABS(1-T21),T21),"")</f>
        <v/>
      </c>
      <c r="U22" t="s">
        <v>36</v>
      </c>
      <c r="V22" t="str">
        <f>IF($G21=1,IF(COUNTIF(W21:$Y21,1) &gt;= 1,ABS(1-V21),V21),"")</f>
        <v/>
      </c>
      <c r="W22" t="str">
        <f>IF($G21=1,IF(COUNTIF(X21:$Y21,1) &gt;= 1,ABS(1-W21),W21),"")</f>
        <v/>
      </c>
      <c r="X22" t="str">
        <f>IF($G21=1,IF(COUNTIF(Y21,1) &gt;= 1,ABS(1-X21),X21),"")</f>
        <v/>
      </c>
      <c r="Y22" t="str">
        <f>IF($G21=1,Y21,"")</f>
        <v/>
      </c>
    </row>
    <row r="23" spans="1:37" x14ac:dyDescent="0.2">
      <c r="G23" s="8" t="s">
        <v>58</v>
      </c>
      <c r="H23" s="8"/>
      <c r="I23" s="8"/>
      <c r="J23">
        <f>F17</f>
        <v>0</v>
      </c>
      <c r="L23" s="8" t="s">
        <v>59</v>
      </c>
      <c r="M23" s="8"/>
      <c r="N23" s="8"/>
      <c r="O23">
        <f>MOD(SUM(Q21:T21)+SUM(V21:Y21)+1,2)</f>
        <v>0</v>
      </c>
      <c r="Q23" s="8" t="s">
        <v>60</v>
      </c>
      <c r="R23" s="8"/>
      <c r="S23" s="8"/>
      <c r="T23">
        <f>U17</f>
        <v>0</v>
      </c>
      <c r="V23" s="8" t="s">
        <v>61</v>
      </c>
      <c r="W23" s="8"/>
      <c r="X23" s="8"/>
      <c r="Y23">
        <f>INT(SUM(G21:Y21)=0)</f>
        <v>0</v>
      </c>
      <c r="AA23" t="s">
        <v>62</v>
      </c>
      <c r="AB23">
        <f>G21</f>
        <v>0</v>
      </c>
      <c r="AC23" t="s">
        <v>63</v>
      </c>
      <c r="AD23">
        <f>+MOD(G17+F17,2)</f>
        <v>0</v>
      </c>
    </row>
    <row r="26" spans="1:37" x14ac:dyDescent="0.2">
      <c r="E26" t="s">
        <v>52</v>
      </c>
      <c r="F26" s="2">
        <f t="shared" ref="F26" si="11">INT(SUM(G26:G28)&gt;1)</f>
        <v>0</v>
      </c>
      <c r="G26" s="2">
        <f t="shared" ref="G26" si="12">INT(SUM(H26:H28)&gt;1)</f>
        <v>1</v>
      </c>
      <c r="H26" s="2">
        <f t="shared" ref="H26" si="13">INT(SUM(I26:I28)&gt;1)</f>
        <v>0</v>
      </c>
      <c r="I26" s="2">
        <f t="shared" ref="I26" si="14">INT(SUM(J26:J28)&gt;1)</f>
        <v>0</v>
      </c>
      <c r="J26" s="2">
        <f>INT(SUM(L26:L28)&gt;1)</f>
        <v>0</v>
      </c>
      <c r="K26" s="7">
        <f>J26</f>
        <v>0</v>
      </c>
      <c r="L26" s="2">
        <f t="shared" ref="L26" si="15">INT(SUM(M26:M28)&gt;1)</f>
        <v>0</v>
      </c>
      <c r="M26" s="2">
        <f t="shared" ref="M26" si="16">INT(SUM(N26:N28)&gt;1)</f>
        <v>1</v>
      </c>
      <c r="N26" s="2">
        <f t="shared" ref="N26" si="17">INT(SUM(O26:O28)&gt;1)</f>
        <v>1</v>
      </c>
      <c r="O26" s="2">
        <f>INT(SUM(Q26:Q28)&gt;1)</f>
        <v>0</v>
      </c>
      <c r="P26" s="7">
        <f>O26</f>
        <v>0</v>
      </c>
      <c r="Q26" s="2">
        <f t="shared" ref="Q26" si="18">INT(SUM(R26:R28)&gt;1)</f>
        <v>1</v>
      </c>
      <c r="R26" s="2">
        <f t="shared" ref="R26" si="19">INT(SUM(S26:S28)&gt;1)</f>
        <v>0</v>
      </c>
      <c r="S26" s="2">
        <f t="shared" ref="S26" si="20">INT(SUM(T26:T28)&gt;1)</f>
        <v>0</v>
      </c>
      <c r="T26" s="2">
        <f>INT(SUM(V26:V28)&gt;1)</f>
        <v>0</v>
      </c>
      <c r="U26" s="7">
        <f>T26</f>
        <v>0</v>
      </c>
      <c r="V26" s="2">
        <f t="shared" ref="V26" si="21">INT(SUM(W26:W28)&gt;1)</f>
        <v>0</v>
      </c>
      <c r="W26" s="2">
        <f t="shared" ref="W26" si="22">INT(SUM(X26:X28)&gt;1)</f>
        <v>0</v>
      </c>
      <c r="X26" s="2">
        <f>INT(SUM(Y26:Y28)&gt;1)</f>
        <v>0</v>
      </c>
      <c r="Y26">
        <v>0</v>
      </c>
    </row>
    <row r="27" spans="1:37" x14ac:dyDescent="0.2">
      <c r="E27" s="1" t="s">
        <v>48</v>
      </c>
      <c r="G27">
        <f>G5</f>
        <v>0</v>
      </c>
      <c r="H27">
        <f t="shared" ref="H27:Y27" si="23">H5</f>
        <v>1</v>
      </c>
      <c r="I27">
        <f t="shared" si="23"/>
        <v>0</v>
      </c>
      <c r="J27">
        <f t="shared" si="23"/>
        <v>1</v>
      </c>
      <c r="K27" t="str">
        <f t="shared" si="23"/>
        <v>.</v>
      </c>
      <c r="L27">
        <f t="shared" si="23"/>
        <v>1</v>
      </c>
      <c r="M27">
        <f t="shared" si="23"/>
        <v>0</v>
      </c>
      <c r="N27">
        <f t="shared" si="23"/>
        <v>1</v>
      </c>
      <c r="O27">
        <f t="shared" si="23"/>
        <v>1</v>
      </c>
      <c r="P27" t="str">
        <f t="shared" si="23"/>
        <v>.</v>
      </c>
      <c r="Q27">
        <f t="shared" si="23"/>
        <v>0</v>
      </c>
      <c r="R27">
        <f t="shared" si="23"/>
        <v>1</v>
      </c>
      <c r="S27">
        <f t="shared" si="23"/>
        <v>0</v>
      </c>
      <c r="T27">
        <f t="shared" si="23"/>
        <v>0</v>
      </c>
      <c r="U27" t="str">
        <f t="shared" si="23"/>
        <v>.</v>
      </c>
      <c r="V27">
        <f t="shared" si="23"/>
        <v>0</v>
      </c>
      <c r="W27">
        <f t="shared" si="23"/>
        <v>1</v>
      </c>
      <c r="X27">
        <f t="shared" si="23"/>
        <v>1</v>
      </c>
      <c r="Y27">
        <f t="shared" si="23"/>
        <v>0</v>
      </c>
      <c r="AE27" s="6" t="s">
        <v>57</v>
      </c>
      <c r="AG27">
        <f>C5</f>
        <v>23366</v>
      </c>
      <c r="AI27" s="9" t="str" cm="1">
        <f t="array" ref="AI27">_xlfn.IFS(AND(AG27&gt;0,AG28&gt;0,AB32=1),$AH$2,AND(AG27&lt;0,AG28&lt;0,AB32=0),$AH$4,AND(AA30=AG30,AD32=1),$AH$3,TRUE,$AH$1)</f>
        <v>При сложении положитель-ных чисел получен отрицательный результат – ПЕРЕПОЛНЕНИЕ!</v>
      </c>
      <c r="AJ27" s="9"/>
      <c r="AK27" s="9"/>
    </row>
    <row r="28" spans="1:37" x14ac:dyDescent="0.2">
      <c r="D28" t="s">
        <v>55</v>
      </c>
      <c r="E28" t="s">
        <v>71</v>
      </c>
      <c r="G28">
        <f>G6</f>
        <v>0</v>
      </c>
      <c r="H28">
        <f t="shared" ref="H28:Y28" si="24">H6</f>
        <v>1</v>
      </c>
      <c r="I28">
        <f t="shared" si="24"/>
        <v>1</v>
      </c>
      <c r="J28">
        <f t="shared" si="24"/>
        <v>0</v>
      </c>
      <c r="K28" t="str">
        <f t="shared" si="24"/>
        <v>.</v>
      </c>
      <c r="L28">
        <f t="shared" si="24"/>
        <v>0</v>
      </c>
      <c r="M28">
        <f t="shared" si="24"/>
        <v>0</v>
      </c>
      <c r="N28">
        <f t="shared" si="24"/>
        <v>0</v>
      </c>
      <c r="O28">
        <f t="shared" si="24"/>
        <v>1</v>
      </c>
      <c r="P28" t="str">
        <f t="shared" si="24"/>
        <v>.</v>
      </c>
      <c r="Q28">
        <f t="shared" si="24"/>
        <v>0</v>
      </c>
      <c r="R28">
        <f t="shared" si="24"/>
        <v>1</v>
      </c>
      <c r="S28">
        <f t="shared" si="24"/>
        <v>1</v>
      </c>
      <c r="T28">
        <f t="shared" si="24"/>
        <v>1</v>
      </c>
      <c r="U28" t="str">
        <f t="shared" si="24"/>
        <v>.</v>
      </c>
      <c r="V28">
        <f t="shared" si="24"/>
        <v>1</v>
      </c>
      <c r="W28">
        <f t="shared" si="24"/>
        <v>0</v>
      </c>
      <c r="X28">
        <f t="shared" si="24"/>
        <v>0</v>
      </c>
      <c r="Y28">
        <f t="shared" si="24"/>
        <v>1</v>
      </c>
      <c r="AD28" s="1" t="s">
        <v>55</v>
      </c>
      <c r="AE28" s="6" t="s">
        <v>72</v>
      </c>
      <c r="AG28">
        <f>C6</f>
        <v>24953</v>
      </c>
      <c r="AI28" s="9"/>
      <c r="AJ28" s="9"/>
      <c r="AK28" s="9"/>
    </row>
    <row r="29" spans="1:37" x14ac:dyDescent="0.2">
      <c r="E29" s="3" t="s">
        <v>49</v>
      </c>
      <c r="F29" s="3" t="s">
        <v>50</v>
      </c>
      <c r="G29" s="3" t="s">
        <v>51</v>
      </c>
      <c r="H29" s="3" t="s">
        <v>51</v>
      </c>
      <c r="I29" s="3" t="s">
        <v>51</v>
      </c>
      <c r="J29" s="3" t="s">
        <v>51</v>
      </c>
      <c r="K29" s="3" t="s">
        <v>51</v>
      </c>
      <c r="L29" s="3" t="s">
        <v>51</v>
      </c>
      <c r="M29" s="3" t="s">
        <v>51</v>
      </c>
      <c r="N29" s="3" t="s">
        <v>51</v>
      </c>
      <c r="O29" s="3" t="s">
        <v>51</v>
      </c>
      <c r="P29" s="3" t="s">
        <v>51</v>
      </c>
      <c r="Q29" s="3" t="s">
        <v>51</v>
      </c>
      <c r="R29" s="3" t="s">
        <v>51</v>
      </c>
      <c r="S29" s="3" t="s">
        <v>51</v>
      </c>
      <c r="T29" s="3" t="s">
        <v>51</v>
      </c>
      <c r="U29" s="3" t="s">
        <v>51</v>
      </c>
      <c r="V29" s="3" t="s">
        <v>51</v>
      </c>
      <c r="W29" s="3" t="s">
        <v>51</v>
      </c>
      <c r="X29" s="3" t="s">
        <v>51</v>
      </c>
      <c r="Y29" s="3" t="s">
        <v>51</v>
      </c>
      <c r="AE29" s="1" t="s">
        <v>65</v>
      </c>
      <c r="AF29" s="1" t="s">
        <v>65</v>
      </c>
      <c r="AG29" s="1" t="s">
        <v>66</v>
      </c>
      <c r="AI29" s="9"/>
      <c r="AJ29" s="9"/>
      <c r="AK29" s="9"/>
    </row>
    <row r="30" spans="1:37" x14ac:dyDescent="0.2">
      <c r="E30" t="s">
        <v>43</v>
      </c>
      <c r="F30">
        <f>F26</f>
        <v>0</v>
      </c>
      <c r="G30">
        <f t="shared" ref="G30:J30" si="25">MOD(SUM(G26:G28),2)</f>
        <v>1</v>
      </c>
      <c r="H30">
        <f t="shared" si="25"/>
        <v>0</v>
      </c>
      <c r="I30">
        <f t="shared" si="25"/>
        <v>1</v>
      </c>
      <c r="J30">
        <f t="shared" si="25"/>
        <v>1</v>
      </c>
      <c r="K30" t="s">
        <v>36</v>
      </c>
      <c r="L30">
        <f t="shared" ref="L30:O30" si="26">MOD(SUM(L26:L28),2)</f>
        <v>1</v>
      </c>
      <c r="M30">
        <f t="shared" si="26"/>
        <v>1</v>
      </c>
      <c r="N30">
        <f t="shared" si="26"/>
        <v>0</v>
      </c>
      <c r="O30">
        <f t="shared" si="26"/>
        <v>0</v>
      </c>
      <c r="P30" t="s">
        <v>36</v>
      </c>
      <c r="Q30">
        <f t="shared" ref="Q30:T30" si="27">MOD(SUM(Q26:Q28),2)</f>
        <v>1</v>
      </c>
      <c r="R30">
        <f t="shared" si="27"/>
        <v>0</v>
      </c>
      <c r="S30">
        <f t="shared" si="27"/>
        <v>1</v>
      </c>
      <c r="T30">
        <f t="shared" si="27"/>
        <v>1</v>
      </c>
      <c r="U30" t="s">
        <v>36</v>
      </c>
      <c r="V30">
        <f t="shared" ref="V30:X30" si="28">MOD(SUM(V26:V28),2)</f>
        <v>1</v>
      </c>
      <c r="W30">
        <f t="shared" si="28"/>
        <v>1</v>
      </c>
      <c r="X30">
        <f t="shared" si="28"/>
        <v>1</v>
      </c>
      <c r="Y30">
        <f>MOD(SUM(Y26:Y28),2)</f>
        <v>1</v>
      </c>
      <c r="Z30" s="4" t="s">
        <v>53</v>
      </c>
      <c r="AA30">
        <f>IF(G30=0,_xlfn.DECIMAL(G30&amp;H30&amp;I30&amp;J30&amp;L30&amp;M30&amp;N30&amp;O30&amp;Q30&amp;R30&amp;S30&amp;T30&amp;V30&amp;W30&amp;X30&amp;Y30,2),0-_xlfn.DECIMAL(H31&amp;I31&amp;J31&amp;L31&amp;M31&amp;N31&amp;O31&amp;Q31&amp;R31&amp;S31&amp;T31&amp;V31&amp;W31&amp;X31&amp;Y31,2))</f>
        <v>-17217</v>
      </c>
      <c r="AB30" s="5" t="s">
        <v>64</v>
      </c>
      <c r="AG30">
        <f>AG28+AG27</f>
        <v>48319</v>
      </c>
      <c r="AH30" s="5" t="s">
        <v>64</v>
      </c>
    </row>
    <row r="31" spans="1:37" x14ac:dyDescent="0.2">
      <c r="E31" t="s">
        <v>54</v>
      </c>
      <c r="G31">
        <f>IF($G30=1,1,"")</f>
        <v>1</v>
      </c>
      <c r="H31">
        <f>IF($G30=1,IF(COUNTIF(I30:$Y30,1) &gt;= 1,ABS(1-H30),H30),"")</f>
        <v>1</v>
      </c>
      <c r="I31">
        <f>IF($G30=1,IF(COUNTIF(J30:$Y30,1) &gt;= 1,ABS(1-I30),I30),"")</f>
        <v>0</v>
      </c>
      <c r="J31">
        <f>IF($G30=1,IF(COUNTIF(K30:$Y30,1) &gt;= 1,ABS(1-J30),J30),"")</f>
        <v>0</v>
      </c>
      <c r="K31" t="s">
        <v>36</v>
      </c>
      <c r="L31">
        <f>IF($G30=1,IF(COUNTIF(M30:$Y30,1) &gt;= 1,ABS(1-L30),L30),"")</f>
        <v>0</v>
      </c>
      <c r="M31">
        <f>IF($G30=1,IF(COUNTIF(N30:$Y30,1) &gt;= 1,ABS(1-M30),M30),"")</f>
        <v>0</v>
      </c>
      <c r="N31">
        <f>IF($G30=1,IF(COUNTIF(O30:$Y30,1) &gt;= 1,ABS(1-N30),N30),"")</f>
        <v>1</v>
      </c>
      <c r="O31">
        <f>IF($G30=1,IF(COUNTIF(P30:$Y30,1) &gt;= 1,ABS(1-O30),O30),"")</f>
        <v>1</v>
      </c>
      <c r="P31" t="s">
        <v>36</v>
      </c>
      <c r="Q31">
        <f>IF($G30=1,IF(COUNTIF(R30:$Y30,1) &gt;= 1,ABS(1-Q30),Q30),"")</f>
        <v>0</v>
      </c>
      <c r="R31">
        <f>IF($G30=1,IF(COUNTIF(S30:$Y30,1) &gt;= 1,ABS(1-R30),R30),"")</f>
        <v>1</v>
      </c>
      <c r="S31">
        <f>IF($G30=1,IF(COUNTIF(T30:$Y30,1) &gt;= 1,ABS(1-S30),S30),"")</f>
        <v>0</v>
      </c>
      <c r="T31">
        <f>IF($G30=1,IF(COUNTIF(U30:$Y30,1) &gt;= 1,ABS(1-T30),T30),"")</f>
        <v>0</v>
      </c>
      <c r="U31" t="s">
        <v>36</v>
      </c>
      <c r="V31">
        <f>IF($G30=1,IF(COUNTIF(W30:$Y30,1) &gt;= 1,ABS(1-V30),V30),"")</f>
        <v>0</v>
      </c>
      <c r="W31">
        <f>IF($G30=1,IF(COUNTIF(X30:$Y30,1) &gt;= 1,ABS(1-W30),W30),"")</f>
        <v>0</v>
      </c>
      <c r="X31">
        <f>IF($G30=1,IF(COUNTIF(Y30,1) &gt;= 1,ABS(1-X30),X30),"")</f>
        <v>0</v>
      </c>
      <c r="Y31">
        <f>IF($G30=1,Y30,"")</f>
        <v>1</v>
      </c>
    </row>
    <row r="32" spans="1:37" x14ac:dyDescent="0.2">
      <c r="G32" s="8" t="s">
        <v>58</v>
      </c>
      <c r="H32" s="8"/>
      <c r="I32" s="8"/>
      <c r="J32">
        <f>F26</f>
        <v>0</v>
      </c>
      <c r="L32" s="8" t="s">
        <v>59</v>
      </c>
      <c r="M32" s="8"/>
      <c r="N32" s="8"/>
      <c r="O32">
        <f>MOD(SUM(Q30:T30)+SUM(V30:Y30)+1,2)</f>
        <v>0</v>
      </c>
      <c r="Q32" s="8" t="s">
        <v>60</v>
      </c>
      <c r="R32" s="8"/>
      <c r="S32" s="8"/>
      <c r="T32">
        <f>U26</f>
        <v>0</v>
      </c>
      <c r="V32" s="8" t="s">
        <v>61</v>
      </c>
      <c r="W32" s="8"/>
      <c r="X32" s="8"/>
      <c r="Y32">
        <f>INT(SUM(G30:Y30)=0)</f>
        <v>0</v>
      </c>
      <c r="AA32" t="s">
        <v>62</v>
      </c>
      <c r="AB32">
        <f>G30</f>
        <v>1</v>
      </c>
      <c r="AC32" t="s">
        <v>63</v>
      </c>
      <c r="AD32">
        <f>+MOD(G26+F26,2)</f>
        <v>1</v>
      </c>
    </row>
    <row r="35" spans="4:37" x14ac:dyDescent="0.2">
      <c r="D35" t="s">
        <v>74</v>
      </c>
      <c r="E35" t="s">
        <v>52</v>
      </c>
      <c r="F35" s="2">
        <f t="shared" ref="F35" si="29">INT(SUM(G35:G37)&gt;1)</f>
        <v>1</v>
      </c>
      <c r="G35" s="2">
        <f t="shared" ref="G35" si="30">INT(SUM(H35:H37)&gt;1)</f>
        <v>1</v>
      </c>
      <c r="H35" s="2">
        <f t="shared" ref="H35" si="31">INT(SUM(I35:I37)&gt;1)</f>
        <v>1</v>
      </c>
      <c r="I35" s="2">
        <f t="shared" ref="I35" si="32">INT(SUM(J35:J37)&gt;1)</f>
        <v>1</v>
      </c>
      <c r="J35" s="2">
        <f>INT(SUM(L35:L37)&gt;1)</f>
        <v>1</v>
      </c>
      <c r="K35" s="7">
        <f>J35</f>
        <v>1</v>
      </c>
      <c r="L35" s="2">
        <f t="shared" ref="L35" si="33">INT(SUM(M35:M37)&gt;1)</f>
        <v>0</v>
      </c>
      <c r="M35" s="2">
        <f t="shared" ref="M35" si="34">INT(SUM(N35:N37)&gt;1)</f>
        <v>1</v>
      </c>
      <c r="N35" s="2">
        <f t="shared" ref="N35" si="35">INT(SUM(O35:O37)&gt;1)</f>
        <v>1</v>
      </c>
      <c r="O35" s="2">
        <f>INT(SUM(Q35:Q37)&gt;1)</f>
        <v>1</v>
      </c>
      <c r="P35" s="7">
        <f>O35</f>
        <v>1</v>
      </c>
      <c r="Q35" s="2">
        <f t="shared" ref="Q35" si="36">INT(SUM(R35:R37)&gt;1)</f>
        <v>1</v>
      </c>
      <c r="R35" s="2">
        <f t="shared" ref="R35" si="37">INT(SUM(S35:S37)&gt;1)</f>
        <v>0</v>
      </c>
      <c r="S35" s="2">
        <f t="shared" ref="S35" si="38">INT(SUM(T35:T37)&gt;1)</f>
        <v>0</v>
      </c>
      <c r="T35" s="2">
        <f>INT(SUM(V35:V37)&gt;1)</f>
        <v>1</v>
      </c>
      <c r="U35" s="7">
        <f>T35</f>
        <v>1</v>
      </c>
      <c r="V35" s="2">
        <f t="shared" ref="V35" si="39">INT(SUM(W35:W37)&gt;1)</f>
        <v>1</v>
      </c>
      <c r="W35" s="2">
        <f t="shared" ref="W35" si="40">INT(SUM(X35:X37)&gt;1)</f>
        <v>0</v>
      </c>
      <c r="X35" s="2">
        <f>INT(SUM(Y35:Y37)&gt;1)</f>
        <v>0</v>
      </c>
      <c r="Y35">
        <v>0</v>
      </c>
    </row>
    <row r="36" spans="4:37" x14ac:dyDescent="0.2">
      <c r="E36" s="1" t="s">
        <v>48</v>
      </c>
      <c r="G36">
        <f>G5</f>
        <v>0</v>
      </c>
      <c r="H36">
        <f t="shared" ref="H36:Y36" si="41">H5</f>
        <v>1</v>
      </c>
      <c r="I36">
        <f t="shared" si="41"/>
        <v>0</v>
      </c>
      <c r="J36">
        <f t="shared" si="41"/>
        <v>1</v>
      </c>
      <c r="K36" t="str">
        <f t="shared" si="41"/>
        <v>.</v>
      </c>
      <c r="L36">
        <f t="shared" si="41"/>
        <v>1</v>
      </c>
      <c r="M36">
        <f t="shared" si="41"/>
        <v>0</v>
      </c>
      <c r="N36">
        <f t="shared" si="41"/>
        <v>1</v>
      </c>
      <c r="O36">
        <f t="shared" si="41"/>
        <v>1</v>
      </c>
      <c r="P36" t="str">
        <f t="shared" si="41"/>
        <v>.</v>
      </c>
      <c r="Q36">
        <f t="shared" si="41"/>
        <v>0</v>
      </c>
      <c r="R36">
        <f t="shared" si="41"/>
        <v>1</v>
      </c>
      <c r="S36">
        <f t="shared" si="41"/>
        <v>0</v>
      </c>
      <c r="T36">
        <f t="shared" si="41"/>
        <v>0</v>
      </c>
      <c r="U36" t="str">
        <f t="shared" si="41"/>
        <v>.</v>
      </c>
      <c r="V36">
        <f t="shared" si="41"/>
        <v>0</v>
      </c>
      <c r="W36">
        <f t="shared" si="41"/>
        <v>1</v>
      </c>
      <c r="X36">
        <f t="shared" si="41"/>
        <v>1</v>
      </c>
      <c r="Y36">
        <f t="shared" si="41"/>
        <v>0</v>
      </c>
      <c r="AE36" s="6" t="s">
        <v>57</v>
      </c>
      <c r="AG36">
        <f>C5</f>
        <v>23366</v>
      </c>
      <c r="AI36" s="9" t="str" cm="1">
        <f t="array" ref="AI36">_xlfn.IFS(AND(AG36&gt;0,AG37&gt;0,AB41=1),$AH$2,AND(AG36&lt;0,AG37&lt;0,AB41=0),$AH$4,AND(AA39=AG39,AD41=1),$AH$3,TRUE,$AH$1)</f>
        <v>Результат корректный</v>
      </c>
      <c r="AJ36" s="9"/>
      <c r="AK36" s="9"/>
    </row>
    <row r="37" spans="4:37" x14ac:dyDescent="0.2">
      <c r="D37" t="s">
        <v>55</v>
      </c>
      <c r="E37" t="s">
        <v>73</v>
      </c>
      <c r="G37">
        <f>G10</f>
        <v>1</v>
      </c>
      <c r="H37">
        <f t="shared" ref="H37:Y37" si="42">H10</f>
        <v>1</v>
      </c>
      <c r="I37">
        <f t="shared" si="42"/>
        <v>1</v>
      </c>
      <c r="J37">
        <f t="shared" si="42"/>
        <v>1</v>
      </c>
      <c r="K37" t="str">
        <f t="shared" si="42"/>
        <v>.</v>
      </c>
      <c r="L37">
        <f t="shared" si="42"/>
        <v>1</v>
      </c>
      <c r="M37">
        <f t="shared" si="42"/>
        <v>0</v>
      </c>
      <c r="N37">
        <f t="shared" si="42"/>
        <v>0</v>
      </c>
      <c r="O37">
        <f t="shared" si="42"/>
        <v>1</v>
      </c>
      <c r="P37" t="str">
        <f t="shared" si="42"/>
        <v>.</v>
      </c>
      <c r="Q37">
        <f t="shared" si="42"/>
        <v>1</v>
      </c>
      <c r="R37">
        <f t="shared" si="42"/>
        <v>1</v>
      </c>
      <c r="S37">
        <f t="shared" si="42"/>
        <v>0</v>
      </c>
      <c r="T37">
        <f t="shared" si="42"/>
        <v>0</v>
      </c>
      <c r="U37" t="str">
        <f t="shared" si="42"/>
        <v>.</v>
      </c>
      <c r="V37">
        <f t="shared" si="42"/>
        <v>1</v>
      </c>
      <c r="W37">
        <f t="shared" si="42"/>
        <v>1</v>
      </c>
      <c r="X37">
        <f t="shared" si="42"/>
        <v>0</v>
      </c>
      <c r="Y37">
        <f t="shared" si="42"/>
        <v>1</v>
      </c>
      <c r="AD37" s="1" t="s">
        <v>55</v>
      </c>
      <c r="AE37" s="6" t="s">
        <v>78</v>
      </c>
      <c r="AG37">
        <f>C10</f>
        <v>-1587</v>
      </c>
      <c r="AI37" s="9"/>
      <c r="AJ37" s="9"/>
      <c r="AK37" s="9"/>
    </row>
    <row r="38" spans="4:37" x14ac:dyDescent="0.2">
      <c r="E38" s="3" t="s">
        <v>49</v>
      </c>
      <c r="F38" s="3" t="s">
        <v>50</v>
      </c>
      <c r="G38" s="3" t="s">
        <v>51</v>
      </c>
      <c r="H38" s="3" t="s">
        <v>51</v>
      </c>
      <c r="I38" s="3" t="s">
        <v>51</v>
      </c>
      <c r="J38" s="3" t="s">
        <v>51</v>
      </c>
      <c r="K38" s="3" t="s">
        <v>51</v>
      </c>
      <c r="L38" s="3" t="s">
        <v>51</v>
      </c>
      <c r="M38" s="3" t="s">
        <v>51</v>
      </c>
      <c r="N38" s="3" t="s">
        <v>51</v>
      </c>
      <c r="O38" s="3" t="s">
        <v>51</v>
      </c>
      <c r="P38" s="3" t="s">
        <v>51</v>
      </c>
      <c r="Q38" s="3" t="s">
        <v>51</v>
      </c>
      <c r="R38" s="3" t="s">
        <v>51</v>
      </c>
      <c r="S38" s="3" t="s">
        <v>51</v>
      </c>
      <c r="T38" s="3" t="s">
        <v>51</v>
      </c>
      <c r="U38" s="3" t="s">
        <v>51</v>
      </c>
      <c r="V38" s="3" t="s">
        <v>51</v>
      </c>
      <c r="W38" s="3" t="s">
        <v>51</v>
      </c>
      <c r="X38" s="3" t="s">
        <v>51</v>
      </c>
      <c r="Y38" s="3" t="s">
        <v>51</v>
      </c>
      <c r="AE38" s="1" t="s">
        <v>65</v>
      </c>
      <c r="AF38" s="1" t="s">
        <v>65</v>
      </c>
      <c r="AG38" s="1" t="s">
        <v>66</v>
      </c>
      <c r="AI38" s="9"/>
      <c r="AJ38" s="9"/>
      <c r="AK38" s="9"/>
    </row>
    <row r="39" spans="4:37" x14ac:dyDescent="0.2">
      <c r="E39" t="s">
        <v>43</v>
      </c>
      <c r="F39">
        <f>F35</f>
        <v>1</v>
      </c>
      <c r="G39">
        <f t="shared" ref="G39:J39" si="43">MOD(SUM(G35:G37),2)</f>
        <v>0</v>
      </c>
      <c r="H39">
        <f t="shared" si="43"/>
        <v>1</v>
      </c>
      <c r="I39">
        <f t="shared" si="43"/>
        <v>0</v>
      </c>
      <c r="J39">
        <f t="shared" si="43"/>
        <v>1</v>
      </c>
      <c r="K39" t="s">
        <v>36</v>
      </c>
      <c r="L39">
        <f t="shared" ref="L39:O39" si="44">MOD(SUM(L35:L37),2)</f>
        <v>0</v>
      </c>
      <c r="M39">
        <f t="shared" si="44"/>
        <v>1</v>
      </c>
      <c r="N39">
        <f t="shared" si="44"/>
        <v>0</v>
      </c>
      <c r="O39">
        <f t="shared" si="44"/>
        <v>1</v>
      </c>
      <c r="P39" t="s">
        <v>36</v>
      </c>
      <c r="Q39">
        <f t="shared" ref="Q39:T39" si="45">MOD(SUM(Q35:Q37),2)</f>
        <v>0</v>
      </c>
      <c r="R39">
        <f t="shared" si="45"/>
        <v>0</v>
      </c>
      <c r="S39">
        <f t="shared" si="45"/>
        <v>0</v>
      </c>
      <c r="T39">
        <f t="shared" si="45"/>
        <v>1</v>
      </c>
      <c r="U39" t="s">
        <v>36</v>
      </c>
      <c r="V39">
        <f t="shared" ref="V39:X39" si="46">MOD(SUM(V35:V37),2)</f>
        <v>0</v>
      </c>
      <c r="W39">
        <f t="shared" si="46"/>
        <v>0</v>
      </c>
      <c r="X39">
        <f t="shared" si="46"/>
        <v>1</v>
      </c>
      <c r="Y39">
        <f>MOD(SUM(Y35:Y37),2)</f>
        <v>1</v>
      </c>
      <c r="Z39" s="4" t="s">
        <v>53</v>
      </c>
      <c r="AA39">
        <f>IF(G39=0,_xlfn.DECIMAL(G39&amp;H39&amp;I39&amp;J39&amp;L39&amp;M39&amp;N39&amp;O39&amp;Q39&amp;R39&amp;S39&amp;T39&amp;V39&amp;W39&amp;X39&amp;Y39,2),0-_xlfn.DECIMAL(H40&amp;I40&amp;J40&amp;L40&amp;M40&amp;N40&amp;O40&amp;Q40&amp;R40&amp;S40&amp;T40&amp;V40&amp;W40&amp;X40&amp;Y40,2))</f>
        <v>21779</v>
      </c>
      <c r="AB39" s="5" t="s">
        <v>64</v>
      </c>
      <c r="AG39">
        <f>AG37+AG36</f>
        <v>21779</v>
      </c>
      <c r="AH39" s="5" t="s">
        <v>64</v>
      </c>
    </row>
    <row r="40" spans="4:37" x14ac:dyDescent="0.2">
      <c r="E40" t="s">
        <v>54</v>
      </c>
      <c r="G40" t="str">
        <f>IF($G39=1,1,"")</f>
        <v/>
      </c>
      <c r="H40" t="str">
        <f>IF($G39=1,IF(COUNTIF(I39:$Y39,1) &gt;= 1,ABS(1-H39),H39),"")</f>
        <v/>
      </c>
      <c r="I40" t="str">
        <f>IF($G39=1,IF(COUNTIF(J39:$Y39,1) &gt;= 1,ABS(1-I39),I39),"")</f>
        <v/>
      </c>
      <c r="J40" t="str">
        <f>IF($G39=1,IF(COUNTIF(K39:$Y39,1) &gt;= 1,ABS(1-J39),J39),"")</f>
        <v/>
      </c>
      <c r="K40" t="s">
        <v>36</v>
      </c>
      <c r="L40" t="str">
        <f>IF($G39=1,IF(COUNTIF(M39:$Y39,1) &gt;= 1,ABS(1-L39),L39),"")</f>
        <v/>
      </c>
      <c r="M40" t="str">
        <f>IF($G39=1,IF(COUNTIF(N39:$Y39,1) &gt;= 1,ABS(1-M39),M39),"")</f>
        <v/>
      </c>
      <c r="N40" t="str">
        <f>IF($G39=1,IF(COUNTIF(O39:$Y39,1) &gt;= 1,ABS(1-N39),N39),"")</f>
        <v/>
      </c>
      <c r="O40" t="str">
        <f>IF($G39=1,IF(COUNTIF(P39:$Y39,1) &gt;= 1,ABS(1-O39),O39),"")</f>
        <v/>
      </c>
      <c r="P40" t="s">
        <v>36</v>
      </c>
      <c r="Q40" t="str">
        <f>IF($G39=1,IF(COUNTIF(R39:$Y39,1) &gt;= 1,ABS(1-Q39),Q39),"")</f>
        <v/>
      </c>
      <c r="R40" t="str">
        <f>IF($G39=1,IF(COUNTIF(S39:$Y39,1) &gt;= 1,ABS(1-R39),R39),"")</f>
        <v/>
      </c>
      <c r="S40" t="str">
        <f>IF($G39=1,IF(COUNTIF(T39:$Y39,1) &gt;= 1,ABS(1-S39),S39),"")</f>
        <v/>
      </c>
      <c r="T40" t="str">
        <f>IF($G39=1,IF(COUNTIF(U39:$Y39,1) &gt;= 1,ABS(1-T39),T39),"")</f>
        <v/>
      </c>
      <c r="U40" t="s">
        <v>36</v>
      </c>
      <c r="V40" t="str">
        <f>IF($G39=1,IF(COUNTIF(W39:$Y39,1) &gt;= 1,ABS(1-V39),V39),"")</f>
        <v/>
      </c>
      <c r="W40" t="str">
        <f>IF($G39=1,IF(COUNTIF(X39:$Y39,1) &gt;= 1,ABS(1-W39),W39),"")</f>
        <v/>
      </c>
      <c r="X40" t="str">
        <f>IF($G39=1,IF(COUNTIF(Y39,1) &gt;= 1,ABS(1-X39),X39),"")</f>
        <v/>
      </c>
      <c r="Y40" t="str">
        <f>IF($G39=1,Y39,"")</f>
        <v/>
      </c>
    </row>
    <row r="41" spans="4:37" x14ac:dyDescent="0.2">
      <c r="G41" s="8" t="s">
        <v>58</v>
      </c>
      <c r="H41" s="8"/>
      <c r="I41" s="8"/>
      <c r="J41">
        <f>F35</f>
        <v>1</v>
      </c>
      <c r="L41" s="8" t="s">
        <v>59</v>
      </c>
      <c r="M41" s="8"/>
      <c r="N41" s="8"/>
      <c r="O41">
        <f>MOD(SUM(Q39:T39)+SUM(V39:Y39)+1,2)</f>
        <v>0</v>
      </c>
      <c r="Q41" s="8" t="s">
        <v>60</v>
      </c>
      <c r="R41" s="8"/>
      <c r="S41" s="8"/>
      <c r="T41">
        <f>U35</f>
        <v>1</v>
      </c>
      <c r="V41" s="8" t="s">
        <v>61</v>
      </c>
      <c r="W41" s="8"/>
      <c r="X41" s="8"/>
      <c r="Y41">
        <f>INT(SUM(G39:Y39)=0)</f>
        <v>0</v>
      </c>
      <c r="AA41" t="s">
        <v>62</v>
      </c>
      <c r="AB41">
        <f>G39</f>
        <v>0</v>
      </c>
      <c r="AC41" t="s">
        <v>63</v>
      </c>
      <c r="AD41">
        <f>+MOD(G35+F35,2)</f>
        <v>0</v>
      </c>
    </row>
    <row r="44" spans="4:37" x14ac:dyDescent="0.2">
      <c r="D44" t="s">
        <v>74</v>
      </c>
      <c r="E44" t="s">
        <v>52</v>
      </c>
      <c r="F44" s="2">
        <f t="shared" ref="F44" si="47">INT(SUM(G44:G46)&gt;1)</f>
        <v>1</v>
      </c>
      <c r="G44" s="2">
        <f t="shared" ref="G44" si="48">INT(SUM(H44:H46)&gt;1)</f>
        <v>1</v>
      </c>
      <c r="H44" s="2">
        <f t="shared" ref="H44" si="49">INT(SUM(I44:I46)&gt;1)</f>
        <v>1</v>
      </c>
      <c r="I44" s="2">
        <f t="shared" ref="I44" si="50">INT(SUM(J44:J46)&gt;1)</f>
        <v>0</v>
      </c>
      <c r="J44" s="2">
        <f>INT(SUM(L44:L46)&gt;1)</f>
        <v>0</v>
      </c>
      <c r="K44" s="7">
        <f>J44</f>
        <v>0</v>
      </c>
      <c r="L44" s="2">
        <f t="shared" ref="L44" si="51">INT(SUM(M44:M46)&gt;1)</f>
        <v>0</v>
      </c>
      <c r="M44" s="2">
        <f t="shared" ref="M44" si="52">INT(SUM(N44:N46)&gt;1)</f>
        <v>0</v>
      </c>
      <c r="N44" s="2">
        <f t="shared" ref="N44" si="53">INT(SUM(O44:O46)&gt;1)</f>
        <v>1</v>
      </c>
      <c r="O44" s="2">
        <f>INT(SUM(Q44:Q46)&gt;1)</f>
        <v>1</v>
      </c>
      <c r="P44" s="7">
        <f>O44</f>
        <v>1</v>
      </c>
      <c r="Q44" s="2">
        <f t="shared" ref="Q44" si="54">INT(SUM(R44:R46)&gt;1)</f>
        <v>1</v>
      </c>
      <c r="R44" s="2">
        <f t="shared" ref="R44" si="55">INT(SUM(S44:S46)&gt;1)</f>
        <v>1</v>
      </c>
      <c r="S44" s="2">
        <f t="shared" ref="S44" si="56">INT(SUM(T44:T46)&gt;1)</f>
        <v>1</v>
      </c>
      <c r="T44" s="2">
        <f>INT(SUM(V44:V46)&gt;1)</f>
        <v>1</v>
      </c>
      <c r="U44" s="7">
        <f>T44</f>
        <v>1</v>
      </c>
      <c r="V44" s="2">
        <f t="shared" ref="V44" si="57">INT(SUM(W44:W46)&gt;1)</f>
        <v>0</v>
      </c>
      <c r="W44" s="2">
        <f t="shared" ref="W44" si="58">INT(SUM(X44:X46)&gt;1)</f>
        <v>0</v>
      </c>
      <c r="X44" s="2">
        <f>INT(SUM(Y44:Y46)&gt;1)</f>
        <v>0</v>
      </c>
      <c r="Y44">
        <v>0</v>
      </c>
    </row>
    <row r="45" spans="4:37" x14ac:dyDescent="0.2">
      <c r="E45" s="1" t="s">
        <v>73</v>
      </c>
      <c r="G45">
        <f>G10</f>
        <v>1</v>
      </c>
      <c r="H45">
        <f t="shared" ref="H45:Y45" si="59">H10</f>
        <v>1</v>
      </c>
      <c r="I45">
        <f t="shared" si="59"/>
        <v>1</v>
      </c>
      <c r="J45">
        <f t="shared" si="59"/>
        <v>1</v>
      </c>
      <c r="K45" t="str">
        <f t="shared" si="59"/>
        <v>.</v>
      </c>
      <c r="L45">
        <f t="shared" si="59"/>
        <v>1</v>
      </c>
      <c r="M45">
        <f t="shared" si="59"/>
        <v>0</v>
      </c>
      <c r="N45">
        <f t="shared" si="59"/>
        <v>0</v>
      </c>
      <c r="O45">
        <f t="shared" si="59"/>
        <v>1</v>
      </c>
      <c r="P45" t="str">
        <f t="shared" si="59"/>
        <v>.</v>
      </c>
      <c r="Q45">
        <f t="shared" si="59"/>
        <v>1</v>
      </c>
      <c r="R45">
        <f t="shared" si="59"/>
        <v>1</v>
      </c>
      <c r="S45">
        <f t="shared" si="59"/>
        <v>0</v>
      </c>
      <c r="T45">
        <f t="shared" si="59"/>
        <v>0</v>
      </c>
      <c r="U45" t="str">
        <f t="shared" si="59"/>
        <v>.</v>
      </c>
      <c r="V45">
        <f t="shared" si="59"/>
        <v>1</v>
      </c>
      <c r="W45">
        <f t="shared" si="59"/>
        <v>1</v>
      </c>
      <c r="X45">
        <f t="shared" si="59"/>
        <v>0</v>
      </c>
      <c r="Y45">
        <f t="shared" si="59"/>
        <v>1</v>
      </c>
      <c r="AE45" s="6" t="s">
        <v>56</v>
      </c>
      <c r="AG45">
        <f>C10</f>
        <v>-1587</v>
      </c>
      <c r="AI45" s="9" t="str" cm="1">
        <f t="array" ref="AI45">_xlfn.IFS(AND(AG45&gt;0,AG46&gt;0,AB50=1),$AH$2,AND(AG45&lt;0,AG46&lt;0,AB50=0),$AH$4,AND(AA48=AG48,AD50=1),$AH$3,TRUE,$AH$1)</f>
        <v>Результат корректный</v>
      </c>
      <c r="AJ45" s="9"/>
      <c r="AK45" s="9"/>
    </row>
    <row r="46" spans="4:37" x14ac:dyDescent="0.2">
      <c r="D46" t="s">
        <v>55</v>
      </c>
      <c r="E46" t="s">
        <v>75</v>
      </c>
      <c r="G46">
        <f>G11</f>
        <v>1</v>
      </c>
      <c r="H46">
        <f t="shared" ref="H46:Y46" si="60">H11</f>
        <v>0</v>
      </c>
      <c r="I46">
        <f t="shared" si="60"/>
        <v>1</v>
      </c>
      <c r="J46">
        <f t="shared" si="60"/>
        <v>0</v>
      </c>
      <c r="K46" t="str">
        <f t="shared" si="60"/>
        <v>.</v>
      </c>
      <c r="L46">
        <f t="shared" si="60"/>
        <v>0</v>
      </c>
      <c r="M46">
        <f t="shared" si="60"/>
        <v>1</v>
      </c>
      <c r="N46">
        <f t="shared" si="60"/>
        <v>0</v>
      </c>
      <c r="O46">
        <f t="shared" si="60"/>
        <v>0</v>
      </c>
      <c r="P46" t="str">
        <f t="shared" si="60"/>
        <v>.</v>
      </c>
      <c r="Q46">
        <f t="shared" si="60"/>
        <v>1</v>
      </c>
      <c r="R46">
        <f t="shared" si="60"/>
        <v>0</v>
      </c>
      <c r="S46">
        <f t="shared" si="60"/>
        <v>1</v>
      </c>
      <c r="T46">
        <f t="shared" si="60"/>
        <v>1</v>
      </c>
      <c r="U46" t="str">
        <f t="shared" si="60"/>
        <v>.</v>
      </c>
      <c r="V46">
        <f t="shared" si="60"/>
        <v>1</v>
      </c>
      <c r="W46">
        <f t="shared" si="60"/>
        <v>0</v>
      </c>
      <c r="X46">
        <f t="shared" si="60"/>
        <v>1</v>
      </c>
      <c r="Y46">
        <f t="shared" si="60"/>
        <v>0</v>
      </c>
      <c r="AD46" s="1" t="s">
        <v>55</v>
      </c>
      <c r="AE46" s="6" t="s">
        <v>57</v>
      </c>
      <c r="AG46">
        <f>C11</f>
        <v>-23366</v>
      </c>
      <c r="AI46" s="9"/>
      <c r="AJ46" s="9"/>
      <c r="AK46" s="9"/>
    </row>
    <row r="47" spans="4:37" x14ac:dyDescent="0.2">
      <c r="E47" s="3" t="s">
        <v>49</v>
      </c>
      <c r="F47" s="3" t="s">
        <v>50</v>
      </c>
      <c r="G47" s="3" t="s">
        <v>51</v>
      </c>
      <c r="H47" s="3" t="s">
        <v>51</v>
      </c>
      <c r="I47" s="3" t="s">
        <v>51</v>
      </c>
      <c r="J47" s="3" t="s">
        <v>51</v>
      </c>
      <c r="K47" s="3" t="s">
        <v>51</v>
      </c>
      <c r="L47" s="3" t="s">
        <v>51</v>
      </c>
      <c r="M47" s="3" t="s">
        <v>51</v>
      </c>
      <c r="N47" s="3" t="s">
        <v>51</v>
      </c>
      <c r="O47" s="3" t="s">
        <v>51</v>
      </c>
      <c r="P47" s="3" t="s">
        <v>51</v>
      </c>
      <c r="Q47" s="3" t="s">
        <v>51</v>
      </c>
      <c r="R47" s="3" t="s">
        <v>51</v>
      </c>
      <c r="S47" s="3" t="s">
        <v>51</v>
      </c>
      <c r="T47" s="3" t="s">
        <v>51</v>
      </c>
      <c r="U47" s="3" t="s">
        <v>51</v>
      </c>
      <c r="V47" s="3" t="s">
        <v>51</v>
      </c>
      <c r="W47" s="3" t="s">
        <v>51</v>
      </c>
      <c r="X47" s="3" t="s">
        <v>51</v>
      </c>
      <c r="Y47" s="3" t="s">
        <v>51</v>
      </c>
      <c r="AE47" s="1" t="s">
        <v>65</v>
      </c>
      <c r="AF47" s="1" t="s">
        <v>65</v>
      </c>
      <c r="AG47" s="1" t="s">
        <v>66</v>
      </c>
      <c r="AI47" s="9"/>
      <c r="AJ47" s="9"/>
      <c r="AK47" s="9"/>
    </row>
    <row r="48" spans="4:37" x14ac:dyDescent="0.2">
      <c r="E48" t="s">
        <v>43</v>
      </c>
      <c r="F48">
        <f>F44</f>
        <v>1</v>
      </c>
      <c r="G48">
        <f t="shared" ref="G48:J48" si="61">MOD(SUM(G44:G46),2)</f>
        <v>1</v>
      </c>
      <c r="H48">
        <f t="shared" si="61"/>
        <v>0</v>
      </c>
      <c r="I48">
        <f t="shared" si="61"/>
        <v>0</v>
      </c>
      <c r="J48">
        <f t="shared" si="61"/>
        <v>1</v>
      </c>
      <c r="K48" t="s">
        <v>36</v>
      </c>
      <c r="L48">
        <f t="shared" ref="L48:O48" si="62">MOD(SUM(L44:L46),2)</f>
        <v>1</v>
      </c>
      <c r="M48">
        <f t="shared" si="62"/>
        <v>1</v>
      </c>
      <c r="N48">
        <f t="shared" si="62"/>
        <v>1</v>
      </c>
      <c r="O48">
        <f t="shared" si="62"/>
        <v>0</v>
      </c>
      <c r="P48" t="s">
        <v>36</v>
      </c>
      <c r="Q48">
        <f t="shared" ref="Q48:T48" si="63">MOD(SUM(Q44:Q46),2)</f>
        <v>1</v>
      </c>
      <c r="R48">
        <f t="shared" si="63"/>
        <v>0</v>
      </c>
      <c r="S48">
        <f t="shared" si="63"/>
        <v>0</v>
      </c>
      <c r="T48">
        <f t="shared" si="63"/>
        <v>0</v>
      </c>
      <c r="U48" t="s">
        <v>36</v>
      </c>
      <c r="V48">
        <f t="shared" ref="V48:X48" si="64">MOD(SUM(V44:V46),2)</f>
        <v>0</v>
      </c>
      <c r="W48">
        <f t="shared" si="64"/>
        <v>1</v>
      </c>
      <c r="X48">
        <f t="shared" si="64"/>
        <v>1</v>
      </c>
      <c r="Y48">
        <f>MOD(SUM(Y44:Y46),2)</f>
        <v>1</v>
      </c>
      <c r="Z48" s="4" t="s">
        <v>53</v>
      </c>
      <c r="AA48">
        <f>IF(G48=0,_xlfn.DECIMAL(G48&amp;H48&amp;I48&amp;J48&amp;L48&amp;M48&amp;N48&amp;O48&amp;Q48&amp;R48&amp;S48&amp;T48&amp;V48&amp;W48&amp;X48&amp;Y48,2),0-_xlfn.DECIMAL(H49&amp;I49&amp;J49&amp;L49&amp;M49&amp;N49&amp;O49&amp;Q49&amp;R49&amp;S49&amp;T49&amp;V49&amp;W49&amp;X49&amp;Y49,2))</f>
        <v>-24953</v>
      </c>
      <c r="AB48" s="5" t="s">
        <v>64</v>
      </c>
      <c r="AG48">
        <f>AG46+AG45</f>
        <v>-24953</v>
      </c>
      <c r="AH48" s="5" t="s">
        <v>64</v>
      </c>
    </row>
    <row r="49" spans="4:37" x14ac:dyDescent="0.2">
      <c r="E49" t="s">
        <v>54</v>
      </c>
      <c r="G49">
        <f>IF($G48=1,1,"")</f>
        <v>1</v>
      </c>
      <c r="H49">
        <f>IF($G48=1,IF(COUNTIF(I48:$Y48,1) &gt;= 1,ABS(1-H48),H48),"")</f>
        <v>1</v>
      </c>
      <c r="I49">
        <f>IF($G48=1,IF(COUNTIF(J48:$Y48,1) &gt;= 1,ABS(1-I48),I48),"")</f>
        <v>1</v>
      </c>
      <c r="J49">
        <f>IF($G48=1,IF(COUNTIF(K48:$Y48,1) &gt;= 1,ABS(1-J48),J48),"")</f>
        <v>0</v>
      </c>
      <c r="K49" t="s">
        <v>36</v>
      </c>
      <c r="L49">
        <f>IF($G48=1,IF(COUNTIF(M48:$Y48,1) &gt;= 1,ABS(1-L48),L48),"")</f>
        <v>0</v>
      </c>
      <c r="M49">
        <f>IF($G48=1,IF(COUNTIF(N48:$Y48,1) &gt;= 1,ABS(1-M48),M48),"")</f>
        <v>0</v>
      </c>
      <c r="N49">
        <f>IF($G48=1,IF(COUNTIF(O48:$Y48,1) &gt;= 1,ABS(1-N48),N48),"")</f>
        <v>0</v>
      </c>
      <c r="O49">
        <f>IF($G48=1,IF(COUNTIF(P48:$Y48,1) &gt;= 1,ABS(1-O48),O48),"")</f>
        <v>1</v>
      </c>
      <c r="P49" t="s">
        <v>36</v>
      </c>
      <c r="Q49">
        <f>IF($G48=1,IF(COUNTIF(R48:$Y48,1) &gt;= 1,ABS(1-Q48),Q48),"")</f>
        <v>0</v>
      </c>
      <c r="R49">
        <f>IF($G48=1,IF(COUNTIF(S48:$Y48,1) &gt;= 1,ABS(1-R48),R48),"")</f>
        <v>1</v>
      </c>
      <c r="S49">
        <f>IF($G48=1,IF(COUNTIF(T48:$Y48,1) &gt;= 1,ABS(1-S48),S48),"")</f>
        <v>1</v>
      </c>
      <c r="T49">
        <f>IF($G48=1,IF(COUNTIF(U48:$Y48,1) &gt;= 1,ABS(1-T48),T48),"")</f>
        <v>1</v>
      </c>
      <c r="U49" t="s">
        <v>36</v>
      </c>
      <c r="V49">
        <f>IF($G48=1,IF(COUNTIF(W48:$Y48,1) &gt;= 1,ABS(1-V48),V48),"")</f>
        <v>1</v>
      </c>
      <c r="W49">
        <f>IF($G48=1,IF(COUNTIF(X48:$Y48,1) &gt;= 1,ABS(1-W48),W48),"")</f>
        <v>0</v>
      </c>
      <c r="X49">
        <f>IF($G48=1,IF(COUNTIF(Y48,1) &gt;= 1,ABS(1-X48),X48),"")</f>
        <v>0</v>
      </c>
      <c r="Y49">
        <f>IF($G48=1,Y48,"")</f>
        <v>1</v>
      </c>
    </row>
    <row r="50" spans="4:37" x14ac:dyDescent="0.2">
      <c r="G50" s="8" t="s">
        <v>58</v>
      </c>
      <c r="H50" s="8"/>
      <c r="I50" s="8"/>
      <c r="J50">
        <f>F44</f>
        <v>1</v>
      </c>
      <c r="L50" s="8" t="s">
        <v>59</v>
      </c>
      <c r="M50" s="8"/>
      <c r="N50" s="8"/>
      <c r="O50">
        <f>MOD(SUM(Q48:T48)+SUM(V48:Y48)+1,2)</f>
        <v>1</v>
      </c>
      <c r="Q50" s="8" t="s">
        <v>60</v>
      </c>
      <c r="R50" s="8"/>
      <c r="S50" s="8"/>
      <c r="T50">
        <f>U44</f>
        <v>1</v>
      </c>
      <c r="V50" s="8" t="s">
        <v>61</v>
      </c>
      <c r="W50" s="8"/>
      <c r="X50" s="8"/>
      <c r="Y50">
        <f>INT(SUM(G48:Y48)=0)</f>
        <v>0</v>
      </c>
      <c r="AA50" t="s">
        <v>62</v>
      </c>
      <c r="AB50">
        <f>G48</f>
        <v>1</v>
      </c>
      <c r="AC50" t="s">
        <v>63</v>
      </c>
      <c r="AD50">
        <f>+MOD(G44+F44,2)</f>
        <v>0</v>
      </c>
    </row>
    <row r="53" spans="4:37" x14ac:dyDescent="0.2">
      <c r="D53" t="s">
        <v>74</v>
      </c>
      <c r="E53" t="s">
        <v>52</v>
      </c>
      <c r="F53" s="2">
        <f t="shared" ref="F53" si="65">INT(SUM(G53:G55)&gt;1)</f>
        <v>1</v>
      </c>
      <c r="G53" s="2">
        <f t="shared" ref="G53" si="66">INT(SUM(H53:H55)&gt;1)</f>
        <v>0</v>
      </c>
      <c r="H53" s="2">
        <f t="shared" ref="H53" si="67">INT(SUM(I53:I55)&gt;1)</f>
        <v>1</v>
      </c>
      <c r="I53" s="2">
        <f t="shared" ref="I53" si="68">INT(SUM(J53:J55)&gt;1)</f>
        <v>1</v>
      </c>
      <c r="J53" s="2">
        <f>INT(SUM(L53:L55)&gt;1)</f>
        <v>1</v>
      </c>
      <c r="K53" s="7">
        <f>J53</f>
        <v>1</v>
      </c>
      <c r="L53" s="2">
        <f t="shared" ref="L53" si="69">INT(SUM(M53:M55)&gt;1)</f>
        <v>1</v>
      </c>
      <c r="M53" s="2">
        <f t="shared" ref="M53" si="70">INT(SUM(N53:N55)&gt;1)</f>
        <v>0</v>
      </c>
      <c r="N53" s="2">
        <f t="shared" ref="N53" si="71">INT(SUM(O53:O55)&gt;1)</f>
        <v>0</v>
      </c>
      <c r="O53" s="2">
        <f>INT(SUM(Q53:Q55)&gt;1)</f>
        <v>1</v>
      </c>
      <c r="P53" s="7">
        <f>O53</f>
        <v>1</v>
      </c>
      <c r="Q53" s="2">
        <f t="shared" ref="Q53" si="72">INT(SUM(R53:R55)&gt;1)</f>
        <v>0</v>
      </c>
      <c r="R53" s="2">
        <f t="shared" ref="R53" si="73">INT(SUM(S53:S55)&gt;1)</f>
        <v>1</v>
      </c>
      <c r="S53" s="2">
        <f t="shared" ref="S53" si="74">INT(SUM(T53:T55)&gt;1)</f>
        <v>1</v>
      </c>
      <c r="T53" s="2">
        <f>INT(SUM(V53:V55)&gt;1)</f>
        <v>1</v>
      </c>
      <c r="U53" s="7">
        <f>T53</f>
        <v>1</v>
      </c>
      <c r="V53" s="2">
        <f t="shared" ref="V53" si="75">INT(SUM(W53:W55)&gt;1)</f>
        <v>1</v>
      </c>
      <c r="W53" s="2">
        <f t="shared" ref="W53" si="76">INT(SUM(X53:X55)&gt;1)</f>
        <v>1</v>
      </c>
      <c r="X53" s="2">
        <f>INT(SUM(Y53:Y55)&gt;1)</f>
        <v>0</v>
      </c>
      <c r="Y53">
        <v>0</v>
      </c>
    </row>
    <row r="54" spans="4:37" x14ac:dyDescent="0.2">
      <c r="E54" s="1" t="s">
        <v>75</v>
      </c>
      <c r="G54">
        <f>G11</f>
        <v>1</v>
      </c>
      <c r="H54">
        <f t="shared" ref="H54:Y54" si="77">H11</f>
        <v>0</v>
      </c>
      <c r="I54">
        <f t="shared" si="77"/>
        <v>1</v>
      </c>
      <c r="J54">
        <f t="shared" si="77"/>
        <v>0</v>
      </c>
      <c r="K54" t="str">
        <f t="shared" si="77"/>
        <v>.</v>
      </c>
      <c r="L54">
        <f t="shared" si="77"/>
        <v>0</v>
      </c>
      <c r="M54">
        <f t="shared" si="77"/>
        <v>1</v>
      </c>
      <c r="N54">
        <f t="shared" si="77"/>
        <v>0</v>
      </c>
      <c r="O54">
        <f t="shared" si="77"/>
        <v>0</v>
      </c>
      <c r="P54" t="str">
        <f t="shared" si="77"/>
        <v>.</v>
      </c>
      <c r="Q54">
        <f t="shared" si="77"/>
        <v>1</v>
      </c>
      <c r="R54">
        <f t="shared" si="77"/>
        <v>0</v>
      </c>
      <c r="S54">
        <f t="shared" si="77"/>
        <v>1</v>
      </c>
      <c r="T54">
        <f t="shared" si="77"/>
        <v>1</v>
      </c>
      <c r="U54" t="str">
        <f t="shared" si="77"/>
        <v>.</v>
      </c>
      <c r="V54">
        <f t="shared" si="77"/>
        <v>1</v>
      </c>
      <c r="W54">
        <f t="shared" si="77"/>
        <v>0</v>
      </c>
      <c r="X54">
        <f t="shared" si="77"/>
        <v>1</v>
      </c>
      <c r="Y54">
        <f t="shared" si="77"/>
        <v>0</v>
      </c>
      <c r="AE54" s="6" t="s">
        <v>56</v>
      </c>
      <c r="AG54">
        <f>C11</f>
        <v>-23366</v>
      </c>
      <c r="AI54" s="9" t="str" cm="1">
        <f t="array" ref="AI54">_xlfn.IFS(AND(AG54&gt;0,AG55&gt;0,AB59=1),$AH$2,AND(AG54&lt;0,AG55&lt;0,AB59=0),$AH$4,AND(AA57=AG57,AD59=1),$AH$3,TRUE,$AH$1)</f>
        <v>При сложении отрицатель-ных чисел получен положительный результат – ПЕРЕПОЛНЕНИЕ!</v>
      </c>
      <c r="AJ54" s="9"/>
      <c r="AK54" s="9"/>
    </row>
    <row r="55" spans="4:37" x14ac:dyDescent="0.2">
      <c r="D55" t="s">
        <v>55</v>
      </c>
      <c r="E55" t="s">
        <v>76</v>
      </c>
      <c r="G55">
        <f>G12</f>
        <v>1</v>
      </c>
      <c r="H55">
        <f t="shared" ref="H55:Y55" si="78">H12</f>
        <v>0</v>
      </c>
      <c r="I55">
        <f t="shared" si="78"/>
        <v>0</v>
      </c>
      <c r="J55">
        <f t="shared" si="78"/>
        <v>1</v>
      </c>
      <c r="K55" t="str">
        <f t="shared" si="78"/>
        <v>.</v>
      </c>
      <c r="L55">
        <f t="shared" si="78"/>
        <v>1</v>
      </c>
      <c r="M55">
        <f t="shared" si="78"/>
        <v>1</v>
      </c>
      <c r="N55">
        <f t="shared" si="78"/>
        <v>1</v>
      </c>
      <c r="O55">
        <f t="shared" si="78"/>
        <v>0</v>
      </c>
      <c r="P55" t="str">
        <f t="shared" si="78"/>
        <v>.</v>
      </c>
      <c r="Q55">
        <f t="shared" si="78"/>
        <v>1</v>
      </c>
      <c r="R55">
        <f t="shared" si="78"/>
        <v>0</v>
      </c>
      <c r="S55">
        <f t="shared" si="78"/>
        <v>0</v>
      </c>
      <c r="T55">
        <f t="shared" si="78"/>
        <v>0</v>
      </c>
      <c r="U55" t="str">
        <f t="shared" si="78"/>
        <v>.</v>
      </c>
      <c r="V55">
        <f t="shared" si="78"/>
        <v>0</v>
      </c>
      <c r="W55">
        <f t="shared" si="78"/>
        <v>1</v>
      </c>
      <c r="X55">
        <f t="shared" si="78"/>
        <v>1</v>
      </c>
      <c r="Y55">
        <f t="shared" si="78"/>
        <v>1</v>
      </c>
      <c r="AD55" s="1" t="s">
        <v>55</v>
      </c>
      <c r="AE55" s="6" t="s">
        <v>57</v>
      </c>
      <c r="AG55">
        <f>C12</f>
        <v>-24953</v>
      </c>
      <c r="AI55" s="9"/>
      <c r="AJ55" s="9"/>
      <c r="AK55" s="9"/>
    </row>
    <row r="56" spans="4:37" x14ac:dyDescent="0.2">
      <c r="E56" s="3" t="s">
        <v>49</v>
      </c>
      <c r="F56" s="3" t="s">
        <v>50</v>
      </c>
      <c r="G56" s="3" t="s">
        <v>51</v>
      </c>
      <c r="H56" s="3" t="s">
        <v>51</v>
      </c>
      <c r="I56" s="3" t="s">
        <v>51</v>
      </c>
      <c r="J56" s="3" t="s">
        <v>51</v>
      </c>
      <c r="K56" s="3" t="s">
        <v>51</v>
      </c>
      <c r="L56" s="3" t="s">
        <v>51</v>
      </c>
      <c r="M56" s="3" t="s">
        <v>51</v>
      </c>
      <c r="N56" s="3" t="s">
        <v>51</v>
      </c>
      <c r="O56" s="3" t="s">
        <v>51</v>
      </c>
      <c r="P56" s="3" t="s">
        <v>51</v>
      </c>
      <c r="Q56" s="3" t="s">
        <v>51</v>
      </c>
      <c r="R56" s="3" t="s">
        <v>51</v>
      </c>
      <c r="S56" s="3" t="s">
        <v>51</v>
      </c>
      <c r="T56" s="3" t="s">
        <v>51</v>
      </c>
      <c r="U56" s="3" t="s">
        <v>51</v>
      </c>
      <c r="V56" s="3" t="s">
        <v>51</v>
      </c>
      <c r="W56" s="3" t="s">
        <v>51</v>
      </c>
      <c r="X56" s="3" t="s">
        <v>51</v>
      </c>
      <c r="Y56" s="3" t="s">
        <v>51</v>
      </c>
      <c r="AE56" s="1" t="s">
        <v>65</v>
      </c>
      <c r="AF56" s="1" t="s">
        <v>65</v>
      </c>
      <c r="AG56" s="1" t="s">
        <v>66</v>
      </c>
      <c r="AI56" s="9"/>
      <c r="AJ56" s="9"/>
      <c r="AK56" s="9"/>
    </row>
    <row r="57" spans="4:37" x14ac:dyDescent="0.2">
      <c r="E57" t="s">
        <v>43</v>
      </c>
      <c r="F57">
        <f>F53</f>
        <v>1</v>
      </c>
      <c r="G57">
        <f t="shared" ref="G57:J57" si="79">MOD(SUM(G53:G55),2)</f>
        <v>0</v>
      </c>
      <c r="H57">
        <f t="shared" si="79"/>
        <v>1</v>
      </c>
      <c r="I57">
        <f t="shared" si="79"/>
        <v>0</v>
      </c>
      <c r="J57">
        <f t="shared" si="79"/>
        <v>0</v>
      </c>
      <c r="K57" t="s">
        <v>36</v>
      </c>
      <c r="L57">
        <f t="shared" ref="L57:O57" si="80">MOD(SUM(L53:L55),2)</f>
        <v>0</v>
      </c>
      <c r="M57">
        <f t="shared" si="80"/>
        <v>0</v>
      </c>
      <c r="N57">
        <f t="shared" si="80"/>
        <v>1</v>
      </c>
      <c r="O57">
        <f t="shared" si="80"/>
        <v>1</v>
      </c>
      <c r="P57" t="s">
        <v>36</v>
      </c>
      <c r="Q57">
        <f t="shared" ref="Q57:T57" si="81">MOD(SUM(Q53:Q55),2)</f>
        <v>0</v>
      </c>
      <c r="R57">
        <f t="shared" si="81"/>
        <v>1</v>
      </c>
      <c r="S57">
        <f t="shared" si="81"/>
        <v>0</v>
      </c>
      <c r="T57">
        <f t="shared" si="81"/>
        <v>0</v>
      </c>
      <c r="U57" t="s">
        <v>36</v>
      </c>
      <c r="V57">
        <f t="shared" ref="V57:X57" si="82">MOD(SUM(V53:V55),2)</f>
        <v>0</v>
      </c>
      <c r="W57">
        <f t="shared" si="82"/>
        <v>0</v>
      </c>
      <c r="X57">
        <f t="shared" si="82"/>
        <v>0</v>
      </c>
      <c r="Y57">
        <f>MOD(SUM(Y53:Y55),2)</f>
        <v>1</v>
      </c>
      <c r="Z57" s="4" t="s">
        <v>53</v>
      </c>
      <c r="AA57">
        <f>IF(G57=0,_xlfn.DECIMAL(G57&amp;H57&amp;I57&amp;J57&amp;L57&amp;M57&amp;N57&amp;O57&amp;Q57&amp;R57&amp;S57&amp;T57&amp;V57&amp;W57&amp;X57&amp;Y57,2),0-_xlfn.DECIMAL(H58&amp;I58&amp;J58&amp;L58&amp;M58&amp;N58&amp;O58&amp;Q58&amp;R58&amp;S58&amp;T58&amp;V58&amp;W58&amp;X58&amp;Y58,2))</f>
        <v>17217</v>
      </c>
      <c r="AB57" s="5" t="s">
        <v>64</v>
      </c>
      <c r="AG57">
        <f>AG55+AG54</f>
        <v>-48319</v>
      </c>
      <c r="AH57" s="5" t="s">
        <v>64</v>
      </c>
    </row>
    <row r="58" spans="4:37" x14ac:dyDescent="0.2">
      <c r="E58" t="s">
        <v>54</v>
      </c>
      <c r="G58" t="str">
        <f>IF($G57=1,1,"")</f>
        <v/>
      </c>
      <c r="H58" t="str">
        <f>IF($G57=1,IF(COUNTIF(I57:$Y57,1) &gt;= 1,ABS(1-H57),H57),"")</f>
        <v/>
      </c>
      <c r="I58" t="str">
        <f>IF($G57=1,IF(COUNTIF(J57:$Y57,1) &gt;= 1,ABS(1-I57),I57),"")</f>
        <v/>
      </c>
      <c r="J58" t="str">
        <f>IF($G57=1,IF(COUNTIF(K57:$Y57,1) &gt;= 1,ABS(1-J57),J57),"")</f>
        <v/>
      </c>
      <c r="K58" t="s">
        <v>36</v>
      </c>
      <c r="L58" t="str">
        <f>IF($G57=1,IF(COUNTIF(M57:$Y57,1) &gt;= 1,ABS(1-L57),L57),"")</f>
        <v/>
      </c>
      <c r="M58" t="str">
        <f>IF($G57=1,IF(COUNTIF(N57:$Y57,1) &gt;= 1,ABS(1-M57),M57),"")</f>
        <v/>
      </c>
      <c r="N58" t="str">
        <f>IF($G57=1,IF(COUNTIF(O57:$Y57,1) &gt;= 1,ABS(1-N57),N57),"")</f>
        <v/>
      </c>
      <c r="O58" t="str">
        <f>IF($G57=1,IF(COUNTIF(P57:$Y57,1) &gt;= 1,ABS(1-O57),O57),"")</f>
        <v/>
      </c>
      <c r="P58" t="s">
        <v>36</v>
      </c>
      <c r="Q58" t="str">
        <f>IF($G57=1,IF(COUNTIF(R57:$Y57,1) &gt;= 1,ABS(1-Q57),Q57),"")</f>
        <v/>
      </c>
      <c r="R58" t="str">
        <f>IF($G57=1,IF(COUNTIF(S57:$Y57,1) &gt;= 1,ABS(1-R57),R57),"")</f>
        <v/>
      </c>
      <c r="S58" t="str">
        <f>IF($G57=1,IF(COUNTIF(T57:$Y57,1) &gt;= 1,ABS(1-S57),S57),"")</f>
        <v/>
      </c>
      <c r="T58" t="str">
        <f>IF($G57=1,IF(COUNTIF(U57:$Y57,1) &gt;= 1,ABS(1-T57),T57),"")</f>
        <v/>
      </c>
      <c r="U58" t="s">
        <v>36</v>
      </c>
      <c r="V58" t="str">
        <f>IF($G57=1,IF(COUNTIF(W57:$Y57,1) &gt;= 1,ABS(1-V57),V57),"")</f>
        <v/>
      </c>
      <c r="W58" t="str">
        <f>IF($G57=1,IF(COUNTIF(X57:$Y57,1) &gt;= 1,ABS(1-W57),W57),"")</f>
        <v/>
      </c>
      <c r="X58" t="str">
        <f>IF($G57=1,IF(COUNTIF(Y57,1) &gt;= 1,ABS(1-X57),X57),"")</f>
        <v/>
      </c>
      <c r="Y58" t="str">
        <f>IF($G57=1,Y57,"")</f>
        <v/>
      </c>
    </row>
    <row r="59" spans="4:37" x14ac:dyDescent="0.2">
      <c r="G59" s="8" t="s">
        <v>58</v>
      </c>
      <c r="H59" s="8"/>
      <c r="I59" s="8"/>
      <c r="J59">
        <f>F53</f>
        <v>1</v>
      </c>
      <c r="L59" s="8" t="s">
        <v>59</v>
      </c>
      <c r="M59" s="8"/>
      <c r="N59" s="8"/>
      <c r="O59">
        <f>MOD(SUM(Q57:T57)+SUM(V57:Y57)+1,2)</f>
        <v>1</v>
      </c>
      <c r="Q59" s="8" t="s">
        <v>60</v>
      </c>
      <c r="R59" s="8"/>
      <c r="S59" s="8"/>
      <c r="T59">
        <f>U53</f>
        <v>1</v>
      </c>
      <c r="V59" s="8" t="s">
        <v>61</v>
      </c>
      <c r="W59" s="8"/>
      <c r="X59" s="8"/>
      <c r="Y59">
        <f>INT(SUM(G57:Y57)=0)</f>
        <v>0</v>
      </c>
      <c r="AA59" t="s">
        <v>62</v>
      </c>
      <c r="AB59">
        <f>G57</f>
        <v>0</v>
      </c>
      <c r="AC59" t="s">
        <v>63</v>
      </c>
      <c r="AD59">
        <f>+MOD(G53+F53,2)</f>
        <v>1</v>
      </c>
    </row>
    <row r="62" spans="4:37" x14ac:dyDescent="0.2">
      <c r="D62" t="s">
        <v>74</v>
      </c>
      <c r="E62" t="s">
        <v>52</v>
      </c>
      <c r="F62" s="2">
        <f t="shared" ref="F62" si="83">INT(SUM(G62:G64)&gt;1)</f>
        <v>0</v>
      </c>
      <c r="G62" s="2">
        <f t="shared" ref="G62" si="84">INT(SUM(H62:H64)&gt;1)</f>
        <v>0</v>
      </c>
      <c r="H62" s="2">
        <f t="shared" ref="H62" si="85">INT(SUM(I62:I64)&gt;1)</f>
        <v>0</v>
      </c>
      <c r="I62" s="2">
        <f t="shared" ref="I62" si="86">INT(SUM(J62:J64)&gt;1)</f>
        <v>0</v>
      </c>
      <c r="J62" s="2">
        <f>INT(SUM(L62:L64)&gt;1)</f>
        <v>0</v>
      </c>
      <c r="K62" s="7">
        <f>J62</f>
        <v>0</v>
      </c>
      <c r="L62" s="2">
        <f t="shared" ref="L62" si="87">INT(SUM(M62:M64)&gt;1)</f>
        <v>1</v>
      </c>
      <c r="M62" s="2">
        <f t="shared" ref="M62" si="88">INT(SUM(N62:N64)&gt;1)</f>
        <v>0</v>
      </c>
      <c r="N62" s="2">
        <f t="shared" ref="N62" si="89">INT(SUM(O62:O64)&gt;1)</f>
        <v>0</v>
      </c>
      <c r="O62" s="2">
        <f>INT(SUM(Q62:Q64)&gt;1)</f>
        <v>0</v>
      </c>
      <c r="P62" s="7">
        <f>O62</f>
        <v>0</v>
      </c>
      <c r="Q62" s="2">
        <f t="shared" ref="Q62" si="90">INT(SUM(R62:R64)&gt;1)</f>
        <v>0</v>
      </c>
      <c r="R62" s="2">
        <f t="shared" ref="R62" si="91">INT(SUM(S62:S64)&gt;1)</f>
        <v>1</v>
      </c>
      <c r="S62" s="2">
        <f t="shared" ref="S62" si="92">INT(SUM(T62:T64)&gt;1)</f>
        <v>1</v>
      </c>
      <c r="T62" s="2">
        <f>INT(SUM(V62:V64)&gt;1)</f>
        <v>0</v>
      </c>
      <c r="U62" s="7">
        <f>T62</f>
        <v>0</v>
      </c>
      <c r="V62" s="2">
        <f t="shared" ref="V62" si="93">INT(SUM(W62:W64)&gt;1)</f>
        <v>0</v>
      </c>
      <c r="W62" s="2">
        <f t="shared" ref="W62" si="94">INT(SUM(X62:X64)&gt;1)</f>
        <v>1</v>
      </c>
      <c r="X62" s="2">
        <f>INT(SUM(Y62:Y64)&gt;1)</f>
        <v>0</v>
      </c>
      <c r="Y62">
        <v>0</v>
      </c>
    </row>
    <row r="63" spans="4:37" x14ac:dyDescent="0.2">
      <c r="E63" s="1" t="s">
        <v>47</v>
      </c>
      <c r="G63">
        <f>G4</f>
        <v>0</v>
      </c>
      <c r="H63">
        <f t="shared" ref="H63:Y63" si="95">H4</f>
        <v>0</v>
      </c>
      <c r="I63">
        <f t="shared" si="95"/>
        <v>0</v>
      </c>
      <c r="J63">
        <f t="shared" si="95"/>
        <v>0</v>
      </c>
      <c r="K63" t="str">
        <f t="shared" si="95"/>
        <v>.</v>
      </c>
      <c r="L63">
        <f t="shared" si="95"/>
        <v>0</v>
      </c>
      <c r="M63">
        <f t="shared" si="95"/>
        <v>1</v>
      </c>
      <c r="N63">
        <f t="shared" si="95"/>
        <v>1</v>
      </c>
      <c r="O63">
        <f t="shared" si="95"/>
        <v>0</v>
      </c>
      <c r="P63" t="str">
        <f t="shared" si="95"/>
        <v>.</v>
      </c>
      <c r="Q63">
        <f t="shared" si="95"/>
        <v>0</v>
      </c>
      <c r="R63">
        <f t="shared" si="95"/>
        <v>0</v>
      </c>
      <c r="S63">
        <f t="shared" si="95"/>
        <v>1</v>
      </c>
      <c r="T63">
        <f t="shared" si="95"/>
        <v>1</v>
      </c>
      <c r="U63" t="str">
        <f t="shared" si="95"/>
        <v>.</v>
      </c>
      <c r="V63">
        <f t="shared" si="95"/>
        <v>0</v>
      </c>
      <c r="W63">
        <f t="shared" si="95"/>
        <v>0</v>
      </c>
      <c r="X63">
        <f t="shared" si="95"/>
        <v>1</v>
      </c>
      <c r="Y63">
        <f t="shared" si="95"/>
        <v>1</v>
      </c>
      <c r="AE63" s="6" t="s">
        <v>56</v>
      </c>
      <c r="AG63">
        <f>C4</f>
        <v>1587</v>
      </c>
      <c r="AI63" s="9" t="str" cm="1">
        <f t="array" ref="AI63">_xlfn.IFS(AND(AG63&gt;0,AG64&gt;0,AB68=1),$AH$2,AND(AG63&lt;0,AG64&lt;0,AB68=0),$AH$4,AND(AA66=AG66,AD68=1),$AH$3,TRUE,$AH$1)</f>
        <v>Результат корректный</v>
      </c>
      <c r="AJ63" s="9"/>
      <c r="AK63" s="9"/>
    </row>
    <row r="64" spans="4:37" x14ac:dyDescent="0.2">
      <c r="D64" t="s">
        <v>55</v>
      </c>
      <c r="E64" t="s">
        <v>75</v>
      </c>
      <c r="G64">
        <f>G11</f>
        <v>1</v>
      </c>
      <c r="H64">
        <f t="shared" ref="H64:Y64" si="96">H11</f>
        <v>0</v>
      </c>
      <c r="I64">
        <f t="shared" si="96"/>
        <v>1</v>
      </c>
      <c r="J64">
        <f t="shared" si="96"/>
        <v>0</v>
      </c>
      <c r="K64" t="str">
        <f t="shared" si="96"/>
        <v>.</v>
      </c>
      <c r="L64">
        <f t="shared" si="96"/>
        <v>0</v>
      </c>
      <c r="M64">
        <f t="shared" si="96"/>
        <v>1</v>
      </c>
      <c r="N64">
        <f t="shared" si="96"/>
        <v>0</v>
      </c>
      <c r="O64">
        <f t="shared" si="96"/>
        <v>0</v>
      </c>
      <c r="P64" t="str">
        <f t="shared" si="96"/>
        <v>.</v>
      </c>
      <c r="Q64">
        <f t="shared" si="96"/>
        <v>1</v>
      </c>
      <c r="R64">
        <f t="shared" si="96"/>
        <v>0</v>
      </c>
      <c r="S64">
        <f t="shared" si="96"/>
        <v>1</v>
      </c>
      <c r="T64">
        <f t="shared" si="96"/>
        <v>1</v>
      </c>
      <c r="U64" t="str">
        <f t="shared" si="96"/>
        <v>.</v>
      </c>
      <c r="V64">
        <f t="shared" si="96"/>
        <v>1</v>
      </c>
      <c r="W64">
        <f t="shared" si="96"/>
        <v>0</v>
      </c>
      <c r="X64">
        <f t="shared" si="96"/>
        <v>1</v>
      </c>
      <c r="Y64">
        <f t="shared" si="96"/>
        <v>0</v>
      </c>
      <c r="AD64" s="1" t="s">
        <v>55</v>
      </c>
      <c r="AE64" s="6" t="s">
        <v>57</v>
      </c>
      <c r="AG64">
        <f>C11</f>
        <v>-23366</v>
      </c>
      <c r="AI64" s="9"/>
      <c r="AJ64" s="9"/>
      <c r="AK64" s="9"/>
    </row>
    <row r="65" spans="4:37" x14ac:dyDescent="0.2">
      <c r="E65" s="3" t="s">
        <v>49</v>
      </c>
      <c r="F65" s="3" t="s">
        <v>50</v>
      </c>
      <c r="G65" s="3" t="s">
        <v>51</v>
      </c>
      <c r="H65" s="3" t="s">
        <v>51</v>
      </c>
      <c r="I65" s="3" t="s">
        <v>51</v>
      </c>
      <c r="J65" s="3" t="s">
        <v>51</v>
      </c>
      <c r="K65" s="3" t="s">
        <v>51</v>
      </c>
      <c r="L65" s="3" t="s">
        <v>51</v>
      </c>
      <c r="M65" s="3" t="s">
        <v>51</v>
      </c>
      <c r="N65" s="3" t="s">
        <v>51</v>
      </c>
      <c r="O65" s="3" t="s">
        <v>51</v>
      </c>
      <c r="P65" s="3" t="s">
        <v>51</v>
      </c>
      <c r="Q65" s="3" t="s">
        <v>51</v>
      </c>
      <c r="R65" s="3" t="s">
        <v>51</v>
      </c>
      <c r="S65" s="3" t="s">
        <v>51</v>
      </c>
      <c r="T65" s="3" t="s">
        <v>51</v>
      </c>
      <c r="U65" s="3" t="s">
        <v>51</v>
      </c>
      <c r="V65" s="3" t="s">
        <v>51</v>
      </c>
      <c r="W65" s="3" t="s">
        <v>51</v>
      </c>
      <c r="X65" s="3" t="s">
        <v>51</v>
      </c>
      <c r="Y65" s="3" t="s">
        <v>51</v>
      </c>
      <c r="AE65" s="1" t="s">
        <v>65</v>
      </c>
      <c r="AF65" s="1" t="s">
        <v>65</v>
      </c>
      <c r="AG65" s="1" t="s">
        <v>66</v>
      </c>
      <c r="AI65" s="9"/>
      <c r="AJ65" s="9"/>
      <c r="AK65" s="9"/>
    </row>
    <row r="66" spans="4:37" x14ac:dyDescent="0.2">
      <c r="E66" t="s">
        <v>43</v>
      </c>
      <c r="F66">
        <f>F62</f>
        <v>0</v>
      </c>
      <c r="G66">
        <f t="shared" ref="G66:J66" si="97">MOD(SUM(G62:G64),2)</f>
        <v>1</v>
      </c>
      <c r="H66">
        <f t="shared" si="97"/>
        <v>0</v>
      </c>
      <c r="I66">
        <f t="shared" si="97"/>
        <v>1</v>
      </c>
      <c r="J66">
        <f t="shared" si="97"/>
        <v>0</v>
      </c>
      <c r="K66" t="s">
        <v>36</v>
      </c>
      <c r="L66">
        <f t="shared" ref="L66:O66" si="98">MOD(SUM(L62:L64),2)</f>
        <v>1</v>
      </c>
      <c r="M66">
        <f t="shared" si="98"/>
        <v>0</v>
      </c>
      <c r="N66">
        <f t="shared" si="98"/>
        <v>1</v>
      </c>
      <c r="O66">
        <f t="shared" si="98"/>
        <v>0</v>
      </c>
      <c r="P66" t="s">
        <v>36</v>
      </c>
      <c r="Q66">
        <f t="shared" ref="Q66:T66" si="99">MOD(SUM(Q62:Q64),2)</f>
        <v>1</v>
      </c>
      <c r="R66">
        <f t="shared" si="99"/>
        <v>1</v>
      </c>
      <c r="S66">
        <f t="shared" si="99"/>
        <v>1</v>
      </c>
      <c r="T66">
        <f t="shared" si="99"/>
        <v>0</v>
      </c>
      <c r="U66" t="s">
        <v>36</v>
      </c>
      <c r="V66">
        <f t="shared" ref="V66:X66" si="100">MOD(SUM(V62:V64),2)</f>
        <v>1</v>
      </c>
      <c r="W66">
        <f t="shared" si="100"/>
        <v>1</v>
      </c>
      <c r="X66">
        <f t="shared" si="100"/>
        <v>0</v>
      </c>
      <c r="Y66">
        <f>MOD(SUM(Y62:Y64),2)</f>
        <v>1</v>
      </c>
      <c r="Z66" s="4" t="s">
        <v>53</v>
      </c>
      <c r="AA66">
        <f>IF(G66=0,_xlfn.DECIMAL(G66&amp;H66&amp;I66&amp;J66&amp;L66&amp;M66&amp;N66&amp;O66&amp;Q66&amp;R66&amp;S66&amp;T66&amp;V66&amp;W66&amp;X66&amp;Y66,2),0-_xlfn.DECIMAL(H67&amp;I67&amp;J67&amp;L67&amp;M67&amp;N67&amp;O67&amp;Q67&amp;R67&amp;S67&amp;T67&amp;V67&amp;W67&amp;X67&amp;Y67,2))</f>
        <v>-21779</v>
      </c>
      <c r="AB66" s="5" t="s">
        <v>64</v>
      </c>
      <c r="AG66">
        <f>AG64+AG63</f>
        <v>-21779</v>
      </c>
      <c r="AH66" s="5" t="s">
        <v>64</v>
      </c>
    </row>
    <row r="67" spans="4:37" x14ac:dyDescent="0.2">
      <c r="E67" t="s">
        <v>54</v>
      </c>
      <c r="G67">
        <f>IF($G66=1,1,"")</f>
        <v>1</v>
      </c>
      <c r="H67">
        <f>IF($G66=1,IF(COUNTIF(I66:$Y66,1) &gt;= 1,ABS(1-H66),H66),"")</f>
        <v>1</v>
      </c>
      <c r="I67">
        <f>IF($G66=1,IF(COUNTIF(J66:$Y66,1) &gt;= 1,ABS(1-I66),I66),"")</f>
        <v>0</v>
      </c>
      <c r="J67">
        <f>IF($G66=1,IF(COUNTIF(K66:$Y66,1) &gt;= 1,ABS(1-J66),J66),"")</f>
        <v>1</v>
      </c>
      <c r="K67" t="s">
        <v>36</v>
      </c>
      <c r="L67">
        <f>IF($G66=1,IF(COUNTIF(M66:$Y66,1) &gt;= 1,ABS(1-L66),L66),"")</f>
        <v>0</v>
      </c>
      <c r="M67">
        <f>IF($G66=1,IF(COUNTIF(N66:$Y66,1) &gt;= 1,ABS(1-M66),M66),"")</f>
        <v>1</v>
      </c>
      <c r="N67">
        <f>IF($G66=1,IF(COUNTIF(O66:$Y66,1) &gt;= 1,ABS(1-N66),N66),"")</f>
        <v>0</v>
      </c>
      <c r="O67">
        <f>IF($G66=1,IF(COUNTIF(P66:$Y66,1) &gt;= 1,ABS(1-O66),O66),"")</f>
        <v>1</v>
      </c>
      <c r="P67" t="s">
        <v>36</v>
      </c>
      <c r="Q67">
        <f>IF($G66=1,IF(COUNTIF(R66:$Y66,1) &gt;= 1,ABS(1-Q66),Q66),"")</f>
        <v>0</v>
      </c>
      <c r="R67">
        <f>IF($G66=1,IF(COUNTIF(S66:$Y66,1) &gt;= 1,ABS(1-R66),R66),"")</f>
        <v>0</v>
      </c>
      <c r="S67">
        <f>IF($G66=1,IF(COUNTIF(T66:$Y66,1) &gt;= 1,ABS(1-S66),S66),"")</f>
        <v>0</v>
      </c>
      <c r="T67">
        <f>IF($G66=1,IF(COUNTIF(U66:$Y66,1) &gt;= 1,ABS(1-T66),T66),"")</f>
        <v>1</v>
      </c>
      <c r="U67" t="s">
        <v>36</v>
      </c>
      <c r="V67">
        <f>IF($G66=1,IF(COUNTIF(W66:$Y66,1) &gt;= 1,ABS(1-V66),V66),"")</f>
        <v>0</v>
      </c>
      <c r="W67">
        <f>IF($G66=1,IF(COUNTIF(X66:$Y66,1) &gt;= 1,ABS(1-W66),W66),"")</f>
        <v>0</v>
      </c>
      <c r="X67">
        <f>IF($G66=1,IF(COUNTIF(Y66,1) &gt;= 1,ABS(1-X66),X66),"")</f>
        <v>1</v>
      </c>
      <c r="Y67">
        <f>IF($G66=1,Y66,"")</f>
        <v>1</v>
      </c>
    </row>
    <row r="68" spans="4:37" x14ac:dyDescent="0.2">
      <c r="G68" s="8" t="s">
        <v>58</v>
      </c>
      <c r="H68" s="8"/>
      <c r="I68" s="8"/>
      <c r="J68">
        <f>F62</f>
        <v>0</v>
      </c>
      <c r="L68" s="8" t="s">
        <v>59</v>
      </c>
      <c r="M68" s="8"/>
      <c r="N68" s="8"/>
      <c r="O68">
        <f>MOD(SUM(Q66:T66)+SUM(V66:Y66)+1,2)</f>
        <v>1</v>
      </c>
      <c r="Q68" s="8" t="s">
        <v>60</v>
      </c>
      <c r="R68" s="8"/>
      <c r="S68" s="8"/>
      <c r="T68">
        <f>U62</f>
        <v>0</v>
      </c>
      <c r="V68" s="8" t="s">
        <v>61</v>
      </c>
      <c r="W68" s="8"/>
      <c r="X68" s="8"/>
      <c r="Y68">
        <f>INT(SUM(G66:Y66)=0)</f>
        <v>0</v>
      </c>
      <c r="AA68" t="s">
        <v>62</v>
      </c>
      <c r="AB68">
        <f>G66</f>
        <v>1</v>
      </c>
      <c r="AC68" t="s">
        <v>63</v>
      </c>
      <c r="AD68">
        <f>+MOD(G62+F62,2)</f>
        <v>0</v>
      </c>
    </row>
    <row r="71" spans="4:37" x14ac:dyDescent="0.2">
      <c r="D71" t="s">
        <v>74</v>
      </c>
      <c r="E71" t="s">
        <v>52</v>
      </c>
      <c r="F71" s="2">
        <f t="shared" ref="F71" si="101">INT(SUM(G71:G73)&gt;1)</f>
        <v>1</v>
      </c>
      <c r="G71" s="2">
        <f t="shared" ref="G71" si="102">INT(SUM(H71:H73)&gt;1)</f>
        <v>1</v>
      </c>
      <c r="H71" s="2">
        <f t="shared" ref="H71" si="103">INT(SUM(I71:I73)&gt;1)</f>
        <v>1</v>
      </c>
      <c r="I71" s="2">
        <f t="shared" ref="I71" si="104">INT(SUM(J71:J73)&gt;1)</f>
        <v>0</v>
      </c>
      <c r="J71" s="2">
        <f>INT(SUM(L71:L73)&gt;1)</f>
        <v>0</v>
      </c>
      <c r="K71" s="7">
        <f>J71</f>
        <v>0</v>
      </c>
      <c r="L71" s="2">
        <f t="shared" ref="L71" si="105">INT(SUM(M71:M73)&gt;1)</f>
        <v>0</v>
      </c>
      <c r="M71" s="2">
        <f t="shared" ref="M71" si="106">INT(SUM(N71:N73)&gt;1)</f>
        <v>1</v>
      </c>
      <c r="N71" s="2">
        <f t="shared" ref="N71" si="107">INT(SUM(O71:O73)&gt;1)</f>
        <v>1</v>
      </c>
      <c r="O71" s="2">
        <f>INT(SUM(Q71:Q73)&gt;1)</f>
        <v>1</v>
      </c>
      <c r="P71" s="7">
        <f>O71</f>
        <v>1</v>
      </c>
      <c r="Q71" s="2">
        <f t="shared" ref="Q71" si="108">INT(SUM(R71:R73)&gt;1)</f>
        <v>1</v>
      </c>
      <c r="R71" s="2">
        <f t="shared" ref="R71" si="109">INT(SUM(S71:S73)&gt;1)</f>
        <v>1</v>
      </c>
      <c r="S71" s="2">
        <f t="shared" ref="S71" si="110">INT(SUM(T71:T73)&gt;1)</f>
        <v>1</v>
      </c>
      <c r="T71" s="2">
        <f>INT(SUM(V71:V73)&gt;1)</f>
        <v>1</v>
      </c>
      <c r="U71" s="7">
        <f>T71</f>
        <v>1</v>
      </c>
      <c r="V71" s="2">
        <f t="shared" ref="V71" si="111">INT(SUM(W71:W73)&gt;1)</f>
        <v>0</v>
      </c>
      <c r="W71" s="2">
        <f t="shared" ref="W71" si="112">INT(SUM(X71:X73)&gt;1)</f>
        <v>0</v>
      </c>
      <c r="X71" s="2">
        <f>INT(SUM(Y71:Y73)&gt;1)</f>
        <v>1</v>
      </c>
      <c r="Y71">
        <v>0</v>
      </c>
    </row>
    <row r="72" spans="4:37" x14ac:dyDescent="0.2">
      <c r="E72" s="1" t="s">
        <v>77</v>
      </c>
      <c r="G72">
        <f>G14</f>
        <v>1</v>
      </c>
      <c r="H72">
        <f t="shared" ref="H72:Y72" si="113">H14</f>
        <v>0</v>
      </c>
      <c r="I72">
        <f t="shared" si="113"/>
        <v>1</v>
      </c>
      <c r="J72">
        <f t="shared" si="113"/>
        <v>0</v>
      </c>
      <c r="K72" t="str">
        <f t="shared" si="113"/>
        <v>.</v>
      </c>
      <c r="L72">
        <f t="shared" si="113"/>
        <v>1</v>
      </c>
      <c r="M72">
        <f t="shared" si="113"/>
        <v>0</v>
      </c>
      <c r="N72">
        <f t="shared" si="113"/>
        <v>1</v>
      </c>
      <c r="O72">
        <f t="shared" si="113"/>
        <v>0</v>
      </c>
      <c r="P72" t="str">
        <f t="shared" si="113"/>
        <v>.</v>
      </c>
      <c r="Q72">
        <f t="shared" si="113"/>
        <v>1</v>
      </c>
      <c r="R72">
        <f t="shared" si="113"/>
        <v>1</v>
      </c>
      <c r="S72">
        <f t="shared" si="113"/>
        <v>1</v>
      </c>
      <c r="T72">
        <f t="shared" si="113"/>
        <v>0</v>
      </c>
      <c r="U72" t="str">
        <f t="shared" si="113"/>
        <v>.</v>
      </c>
      <c r="V72">
        <f t="shared" si="113"/>
        <v>1</v>
      </c>
      <c r="W72">
        <f t="shared" si="113"/>
        <v>1</v>
      </c>
      <c r="X72">
        <f t="shared" si="113"/>
        <v>0</v>
      </c>
      <c r="Y72">
        <f t="shared" si="113"/>
        <v>1</v>
      </c>
      <c r="AE72" s="6" t="s">
        <v>56</v>
      </c>
      <c r="AG72">
        <f>C14</f>
        <v>-21779</v>
      </c>
      <c r="AI72" s="9" t="str" cm="1">
        <f t="array" ref="AI72">_xlfn.IFS(AND(AG72&gt;0,AG73&gt;0,AB77=1),$AH$2,AND(AG72&lt;0,AG73&lt;0,AB77=0),$AH$4,AND(AA75=AG75,AD77=1),$AH$3,TRUE,$AH$1)</f>
        <v>Результат корректный</v>
      </c>
      <c r="AJ72" s="9"/>
      <c r="AK72" s="9"/>
    </row>
    <row r="73" spans="4:37" x14ac:dyDescent="0.2">
      <c r="D73" t="s">
        <v>55</v>
      </c>
      <c r="E73" t="s">
        <v>71</v>
      </c>
      <c r="G73">
        <f>G6</f>
        <v>0</v>
      </c>
      <c r="H73">
        <f t="shared" ref="H73:Y73" si="114">H6</f>
        <v>1</v>
      </c>
      <c r="I73">
        <f t="shared" si="114"/>
        <v>1</v>
      </c>
      <c r="J73">
        <f t="shared" si="114"/>
        <v>0</v>
      </c>
      <c r="K73" t="str">
        <f t="shared" si="114"/>
        <v>.</v>
      </c>
      <c r="L73">
        <f t="shared" si="114"/>
        <v>0</v>
      </c>
      <c r="M73">
        <f t="shared" si="114"/>
        <v>0</v>
      </c>
      <c r="N73">
        <f t="shared" si="114"/>
        <v>0</v>
      </c>
      <c r="O73">
        <f t="shared" si="114"/>
        <v>1</v>
      </c>
      <c r="P73" t="str">
        <f t="shared" si="114"/>
        <v>.</v>
      </c>
      <c r="Q73">
        <f t="shared" si="114"/>
        <v>0</v>
      </c>
      <c r="R73">
        <f t="shared" si="114"/>
        <v>1</v>
      </c>
      <c r="S73">
        <f t="shared" si="114"/>
        <v>1</v>
      </c>
      <c r="T73">
        <f t="shared" si="114"/>
        <v>1</v>
      </c>
      <c r="U73" t="str">
        <f t="shared" si="114"/>
        <v>.</v>
      </c>
      <c r="V73">
        <f t="shared" si="114"/>
        <v>1</v>
      </c>
      <c r="W73">
        <f t="shared" si="114"/>
        <v>0</v>
      </c>
      <c r="X73">
        <f t="shared" si="114"/>
        <v>0</v>
      </c>
      <c r="Y73">
        <f t="shared" si="114"/>
        <v>1</v>
      </c>
      <c r="AD73" s="1" t="s">
        <v>55</v>
      </c>
      <c r="AE73" s="6" t="s">
        <v>57</v>
      </c>
      <c r="AG73">
        <f>C6</f>
        <v>24953</v>
      </c>
      <c r="AI73" s="9"/>
      <c r="AJ73" s="9"/>
      <c r="AK73" s="9"/>
    </row>
    <row r="74" spans="4:37" x14ac:dyDescent="0.2">
      <c r="E74" s="3" t="s">
        <v>49</v>
      </c>
      <c r="F74" s="3" t="s">
        <v>50</v>
      </c>
      <c r="G74" s="3" t="s">
        <v>51</v>
      </c>
      <c r="H74" s="3" t="s">
        <v>51</v>
      </c>
      <c r="I74" s="3" t="s">
        <v>51</v>
      </c>
      <c r="J74" s="3" t="s">
        <v>51</v>
      </c>
      <c r="K74" s="3" t="s">
        <v>51</v>
      </c>
      <c r="L74" s="3" t="s">
        <v>51</v>
      </c>
      <c r="M74" s="3" t="s">
        <v>51</v>
      </c>
      <c r="N74" s="3" t="s">
        <v>51</v>
      </c>
      <c r="O74" s="3" t="s">
        <v>51</v>
      </c>
      <c r="P74" s="3" t="s">
        <v>51</v>
      </c>
      <c r="Q74" s="3" t="s">
        <v>51</v>
      </c>
      <c r="R74" s="3" t="s">
        <v>51</v>
      </c>
      <c r="S74" s="3" t="s">
        <v>51</v>
      </c>
      <c r="T74" s="3" t="s">
        <v>51</v>
      </c>
      <c r="U74" s="3" t="s">
        <v>51</v>
      </c>
      <c r="V74" s="3" t="s">
        <v>51</v>
      </c>
      <c r="W74" s="3" t="s">
        <v>51</v>
      </c>
      <c r="X74" s="3" t="s">
        <v>51</v>
      </c>
      <c r="Y74" s="3" t="s">
        <v>51</v>
      </c>
      <c r="AE74" s="1" t="s">
        <v>65</v>
      </c>
      <c r="AF74" s="1" t="s">
        <v>65</v>
      </c>
      <c r="AG74" s="1" t="s">
        <v>66</v>
      </c>
      <c r="AI74" s="9"/>
      <c r="AJ74" s="9"/>
      <c r="AK74" s="9"/>
    </row>
    <row r="75" spans="4:37" x14ac:dyDescent="0.2">
      <c r="E75" t="s">
        <v>43</v>
      </c>
      <c r="F75">
        <f>F71</f>
        <v>1</v>
      </c>
      <c r="G75">
        <f t="shared" ref="G75:J75" si="115">MOD(SUM(G71:G73),2)</f>
        <v>0</v>
      </c>
      <c r="H75">
        <f t="shared" si="115"/>
        <v>0</v>
      </c>
      <c r="I75">
        <f t="shared" si="115"/>
        <v>0</v>
      </c>
      <c r="J75">
        <f t="shared" si="115"/>
        <v>0</v>
      </c>
      <c r="K75" t="s">
        <v>36</v>
      </c>
      <c r="L75">
        <f t="shared" ref="L75:O75" si="116">MOD(SUM(L71:L73),2)</f>
        <v>1</v>
      </c>
      <c r="M75">
        <f t="shared" si="116"/>
        <v>1</v>
      </c>
      <c r="N75">
        <f t="shared" si="116"/>
        <v>0</v>
      </c>
      <c r="O75">
        <f t="shared" si="116"/>
        <v>0</v>
      </c>
      <c r="P75" t="s">
        <v>36</v>
      </c>
      <c r="Q75">
        <f t="shared" ref="Q75:T75" si="117">MOD(SUM(Q71:Q73),2)</f>
        <v>0</v>
      </c>
      <c r="R75">
        <f t="shared" si="117"/>
        <v>1</v>
      </c>
      <c r="S75">
        <f t="shared" si="117"/>
        <v>1</v>
      </c>
      <c r="T75">
        <f t="shared" si="117"/>
        <v>0</v>
      </c>
      <c r="U75" t="s">
        <v>36</v>
      </c>
      <c r="V75">
        <f t="shared" ref="V75:X75" si="118">MOD(SUM(V71:V73),2)</f>
        <v>0</v>
      </c>
      <c r="W75">
        <f t="shared" si="118"/>
        <v>1</v>
      </c>
      <c r="X75">
        <f t="shared" si="118"/>
        <v>1</v>
      </c>
      <c r="Y75">
        <f>MOD(SUM(Y71:Y73),2)</f>
        <v>0</v>
      </c>
      <c r="Z75" s="4" t="s">
        <v>53</v>
      </c>
      <c r="AA75">
        <f>IF(G75=0,_xlfn.DECIMAL(G75&amp;H75&amp;I75&amp;J75&amp;L75&amp;M75&amp;N75&amp;O75&amp;Q75&amp;R75&amp;S75&amp;T75&amp;V75&amp;W75&amp;X75&amp;Y75,2),0-_xlfn.DECIMAL(H76&amp;I76&amp;J76&amp;L76&amp;M76&amp;N76&amp;O76&amp;Q76&amp;R76&amp;S76&amp;T76&amp;V76&amp;W76&amp;X76&amp;Y76,2))</f>
        <v>3174</v>
      </c>
      <c r="AB75" s="5" t="s">
        <v>64</v>
      </c>
      <c r="AG75">
        <f>AG73+AG72</f>
        <v>3174</v>
      </c>
      <c r="AH75" s="5" t="s">
        <v>64</v>
      </c>
    </row>
    <row r="76" spans="4:37" x14ac:dyDescent="0.2">
      <c r="E76" t="s">
        <v>54</v>
      </c>
      <c r="G76" t="str">
        <f>IF($G75=1,1,"")</f>
        <v/>
      </c>
      <c r="H76" t="str">
        <f>IF($G75=1,IF(COUNTIF(I75:$Y75,1) &gt;= 1,ABS(1-H75),H75),"")</f>
        <v/>
      </c>
      <c r="I76" t="str">
        <f>IF($G75=1,IF(COUNTIF(J75:$Y75,1) &gt;= 1,ABS(1-I75),I75),"")</f>
        <v/>
      </c>
      <c r="J76" t="str">
        <f>IF($G75=1,IF(COUNTIF(K75:$Y75,1) &gt;= 1,ABS(1-J75),J75),"")</f>
        <v/>
      </c>
      <c r="K76" t="s">
        <v>36</v>
      </c>
      <c r="L76" t="str">
        <f>IF($G75=1,IF(COUNTIF(M75:$Y75,1) &gt;= 1,ABS(1-L75),L75),"")</f>
        <v/>
      </c>
      <c r="M76" t="str">
        <f>IF($G75=1,IF(COUNTIF(N75:$Y75,1) &gt;= 1,ABS(1-M75),M75),"")</f>
        <v/>
      </c>
      <c r="N76" t="str">
        <f>IF($G75=1,IF(COUNTIF(O75:$Y75,1) &gt;= 1,ABS(1-N75),N75),"")</f>
        <v/>
      </c>
      <c r="O76" t="str">
        <f>IF($G75=1,IF(COUNTIF(P75:$Y75,1) &gt;= 1,ABS(1-O75),O75),"")</f>
        <v/>
      </c>
      <c r="P76" t="s">
        <v>36</v>
      </c>
      <c r="Q76" t="str">
        <f>IF($G75=1,IF(COUNTIF(R75:$Y75,1) &gt;= 1,ABS(1-Q75),Q75),"")</f>
        <v/>
      </c>
      <c r="R76" t="str">
        <f>IF($G75=1,IF(COUNTIF(S75:$Y75,1) &gt;= 1,ABS(1-R75),R75),"")</f>
        <v/>
      </c>
      <c r="S76" t="str">
        <f>IF($G75=1,IF(COUNTIF(T75:$Y75,1) &gt;= 1,ABS(1-S75),S75),"")</f>
        <v/>
      </c>
      <c r="T76" t="str">
        <f>IF($G75=1,IF(COUNTIF(U75:$Y75,1) &gt;= 1,ABS(1-T75),T75),"")</f>
        <v/>
      </c>
      <c r="U76" t="s">
        <v>36</v>
      </c>
      <c r="V76" t="str">
        <f>IF($G75=1,IF(COUNTIF(W75:$Y75,1) &gt;= 1,ABS(1-V75),V75),"")</f>
        <v/>
      </c>
      <c r="W76" t="str">
        <f>IF($G75=1,IF(COUNTIF(X75:$Y75,1) &gt;= 1,ABS(1-W75),W75),"")</f>
        <v/>
      </c>
      <c r="X76" t="str">
        <f>IF($G75=1,IF(COUNTIF(Y75,1) &gt;= 1,ABS(1-X75),X75),"")</f>
        <v/>
      </c>
      <c r="Y76" t="str">
        <f>IF($G75=1,Y75,"")</f>
        <v/>
      </c>
    </row>
    <row r="77" spans="4:37" x14ac:dyDescent="0.2">
      <c r="G77" s="8" t="s">
        <v>58</v>
      </c>
      <c r="H77" s="8"/>
      <c r="I77" s="8"/>
      <c r="J77">
        <f>F71</f>
        <v>1</v>
      </c>
      <c r="L77" s="8" t="s">
        <v>59</v>
      </c>
      <c r="M77" s="8"/>
      <c r="N77" s="8"/>
      <c r="O77">
        <f>MOD(SUM(Q75:T75)+SUM(V75:Y75)+1,2)</f>
        <v>1</v>
      </c>
      <c r="Q77" s="8" t="s">
        <v>60</v>
      </c>
      <c r="R77" s="8"/>
      <c r="S77" s="8"/>
      <c r="T77">
        <f>U71</f>
        <v>1</v>
      </c>
      <c r="V77" s="8" t="s">
        <v>61</v>
      </c>
      <c r="W77" s="8"/>
      <c r="X77" s="8"/>
      <c r="Y77">
        <f>INT(SUM(G75:Y75)=0)</f>
        <v>0</v>
      </c>
      <c r="AA77" t="s">
        <v>62</v>
      </c>
      <c r="AB77">
        <f>G75</f>
        <v>0</v>
      </c>
      <c r="AC77" t="s">
        <v>63</v>
      </c>
      <c r="AD77">
        <f>+MOD(G71+F71,2)</f>
        <v>0</v>
      </c>
    </row>
  </sheetData>
  <mergeCells count="35">
    <mergeCell ref="AI18:AK20"/>
    <mergeCell ref="AI27:AK29"/>
    <mergeCell ref="G32:I32"/>
    <mergeCell ref="L32:N32"/>
    <mergeCell ref="Q32:S32"/>
    <mergeCell ref="V32:X32"/>
    <mergeCell ref="G23:I23"/>
    <mergeCell ref="L23:N23"/>
    <mergeCell ref="Q23:S23"/>
    <mergeCell ref="V23:X23"/>
    <mergeCell ref="AI45:AK47"/>
    <mergeCell ref="AI36:AK38"/>
    <mergeCell ref="G41:I41"/>
    <mergeCell ref="L41:N41"/>
    <mergeCell ref="Q41:S41"/>
    <mergeCell ref="V41:X41"/>
    <mergeCell ref="G50:I50"/>
    <mergeCell ref="L50:N50"/>
    <mergeCell ref="Q50:S50"/>
    <mergeCell ref="V50:X50"/>
    <mergeCell ref="AI54:AK56"/>
    <mergeCell ref="AI72:AK74"/>
    <mergeCell ref="G59:I59"/>
    <mergeCell ref="L59:N59"/>
    <mergeCell ref="Q59:S59"/>
    <mergeCell ref="V59:X59"/>
    <mergeCell ref="AI63:AK65"/>
    <mergeCell ref="G77:I77"/>
    <mergeCell ref="L77:N77"/>
    <mergeCell ref="Q77:S77"/>
    <mergeCell ref="V77:X77"/>
    <mergeCell ref="G68:I68"/>
    <mergeCell ref="L68:N68"/>
    <mergeCell ref="Q68:S68"/>
    <mergeCell ref="V68:X68"/>
  </mergeCells>
  <phoneticPr fontId="1" type="noConversion"/>
  <conditionalFormatting sqref="F17:J17 L17:O17 Q17:T17">
    <cfRule type="containsText" dxfId="39" priority="38" stopIfTrue="1" operator="containsText" text="1">
      <formula>NOT(ISERROR(SEARCH("1",F17)))</formula>
    </cfRule>
    <cfRule type="containsText" dxfId="38" priority="37" stopIfTrue="1" operator="containsText" text="0">
      <formula>NOT(ISERROR(SEARCH("0",F17)))</formula>
    </cfRule>
  </conditionalFormatting>
  <conditionalFormatting sqref="F26:J26">
    <cfRule type="containsText" dxfId="37" priority="11" stopIfTrue="1" operator="containsText" text="0">
      <formula>NOT(ISERROR(SEARCH("0",F26)))</formula>
    </cfRule>
    <cfRule type="containsText" dxfId="36" priority="12" stopIfTrue="1" operator="containsText" text="1">
      <formula>NOT(ISERROR(SEARCH("1",F26)))</formula>
    </cfRule>
  </conditionalFormatting>
  <conditionalFormatting sqref="F35:J35">
    <cfRule type="containsText" dxfId="35" priority="9" stopIfTrue="1" operator="containsText" text="0">
      <formula>NOT(ISERROR(SEARCH("0",F35)))</formula>
    </cfRule>
    <cfRule type="containsText" dxfId="34" priority="10" stopIfTrue="1" operator="containsText" text="1">
      <formula>NOT(ISERROR(SEARCH("1",F35)))</formula>
    </cfRule>
  </conditionalFormatting>
  <conditionalFormatting sqref="F44:J44">
    <cfRule type="containsText" dxfId="33" priority="7" stopIfTrue="1" operator="containsText" text="0">
      <formula>NOT(ISERROR(SEARCH("0",F44)))</formula>
    </cfRule>
    <cfRule type="containsText" dxfId="32" priority="8" stopIfTrue="1" operator="containsText" text="1">
      <formula>NOT(ISERROR(SEARCH("1",F44)))</formula>
    </cfRule>
  </conditionalFormatting>
  <conditionalFormatting sqref="F53:J53">
    <cfRule type="containsText" dxfId="31" priority="5" stopIfTrue="1" operator="containsText" text="0">
      <formula>NOT(ISERROR(SEARCH("0",F53)))</formula>
    </cfRule>
    <cfRule type="containsText" dxfId="30" priority="6" stopIfTrue="1" operator="containsText" text="1">
      <formula>NOT(ISERROR(SEARCH("1",F53)))</formula>
    </cfRule>
  </conditionalFormatting>
  <conditionalFormatting sqref="F62:J62">
    <cfRule type="containsText" dxfId="29" priority="3" stopIfTrue="1" operator="containsText" text="0">
      <formula>NOT(ISERROR(SEARCH("0",F62)))</formula>
    </cfRule>
    <cfRule type="containsText" dxfId="28" priority="4" stopIfTrue="1" operator="containsText" text="1">
      <formula>NOT(ISERROR(SEARCH("1",F62)))</formula>
    </cfRule>
  </conditionalFormatting>
  <conditionalFormatting sqref="F71:J71">
    <cfRule type="containsText" dxfId="27" priority="1" stopIfTrue="1" operator="containsText" text="0">
      <formula>NOT(ISERROR(SEARCH("0",F71)))</formula>
    </cfRule>
    <cfRule type="containsText" dxfId="26" priority="2" stopIfTrue="1" operator="containsText" text="1">
      <formula>NOT(ISERROR(SEARCH("1",F71)))</formula>
    </cfRule>
  </conditionalFormatting>
  <conditionalFormatting sqref="L26:O26 Q26:T26">
    <cfRule type="containsText" dxfId="25" priority="34" stopIfTrue="1" operator="containsText" text="1">
      <formula>NOT(ISERROR(SEARCH("1",L26)))</formula>
    </cfRule>
    <cfRule type="containsText" dxfId="24" priority="33" stopIfTrue="1" operator="containsText" text="0">
      <formula>NOT(ISERROR(SEARCH("0",L26)))</formula>
    </cfRule>
  </conditionalFormatting>
  <conditionalFormatting sqref="L35:O35 Q35:T35">
    <cfRule type="containsText" dxfId="23" priority="30" stopIfTrue="1" operator="containsText" text="1">
      <formula>NOT(ISERROR(SEARCH("1",L35)))</formula>
    </cfRule>
    <cfRule type="containsText" dxfId="22" priority="29" stopIfTrue="1" operator="containsText" text="0">
      <formula>NOT(ISERROR(SEARCH("0",L35)))</formula>
    </cfRule>
  </conditionalFormatting>
  <conditionalFormatting sqref="L44:O44 Q44:T44">
    <cfRule type="containsText" dxfId="21" priority="26" stopIfTrue="1" operator="containsText" text="1">
      <formula>NOT(ISERROR(SEARCH("1",L44)))</formula>
    </cfRule>
    <cfRule type="containsText" dxfId="20" priority="25" stopIfTrue="1" operator="containsText" text="0">
      <formula>NOT(ISERROR(SEARCH("0",L44)))</formula>
    </cfRule>
  </conditionalFormatting>
  <conditionalFormatting sqref="L53:O53 Q53:T53">
    <cfRule type="containsText" dxfId="19" priority="21" stopIfTrue="1" operator="containsText" text="0">
      <formula>NOT(ISERROR(SEARCH("0",L53)))</formula>
    </cfRule>
    <cfRule type="containsText" dxfId="18" priority="22" stopIfTrue="1" operator="containsText" text="1">
      <formula>NOT(ISERROR(SEARCH("1",L53)))</formula>
    </cfRule>
  </conditionalFormatting>
  <conditionalFormatting sqref="L62:O62 Q62:T62">
    <cfRule type="containsText" dxfId="17" priority="18" stopIfTrue="1" operator="containsText" text="1">
      <formula>NOT(ISERROR(SEARCH("1",L62)))</formula>
    </cfRule>
    <cfRule type="containsText" dxfId="16" priority="17" stopIfTrue="1" operator="containsText" text="0">
      <formula>NOT(ISERROR(SEARCH("0",L62)))</formula>
    </cfRule>
  </conditionalFormatting>
  <conditionalFormatting sqref="L71:O71 Q71:T71">
    <cfRule type="containsText" dxfId="15" priority="14" stopIfTrue="1" operator="containsText" text="1">
      <formula>NOT(ISERROR(SEARCH("1",L71)))</formula>
    </cfRule>
    <cfRule type="containsText" dxfId="14" priority="13" stopIfTrue="1" operator="containsText" text="0">
      <formula>NOT(ISERROR(SEARCH("0",L71)))</formula>
    </cfRule>
  </conditionalFormatting>
  <conditionalFormatting sqref="V26:X26">
    <cfRule type="containsText" dxfId="13" priority="35" stopIfTrue="1" operator="containsText" text="0">
      <formula>NOT(ISERROR(SEARCH("0",V26)))</formula>
    </cfRule>
    <cfRule type="containsText" dxfId="12" priority="36" stopIfTrue="1" operator="containsText" text="1">
      <formula>NOT(ISERROR(SEARCH("1",V26)))</formula>
    </cfRule>
  </conditionalFormatting>
  <conditionalFormatting sqref="V35:X35">
    <cfRule type="containsText" dxfId="11" priority="31" stopIfTrue="1" operator="containsText" text="0">
      <formula>NOT(ISERROR(SEARCH("0",V35)))</formula>
    </cfRule>
    <cfRule type="containsText" dxfId="10" priority="32" stopIfTrue="1" operator="containsText" text="1">
      <formula>NOT(ISERROR(SEARCH("1",V35)))</formula>
    </cfRule>
  </conditionalFormatting>
  <conditionalFormatting sqref="V44:X44">
    <cfRule type="containsText" dxfId="9" priority="27" stopIfTrue="1" operator="containsText" text="0">
      <formula>NOT(ISERROR(SEARCH("0",V44)))</formula>
    </cfRule>
    <cfRule type="containsText" dxfId="8" priority="28" stopIfTrue="1" operator="containsText" text="1">
      <formula>NOT(ISERROR(SEARCH("1",V44)))</formula>
    </cfRule>
  </conditionalFormatting>
  <conditionalFormatting sqref="V53:X53">
    <cfRule type="containsText" dxfId="7" priority="23" stopIfTrue="1" operator="containsText" text="0">
      <formula>NOT(ISERROR(SEARCH("0",V53)))</formula>
    </cfRule>
    <cfRule type="containsText" dxfId="6" priority="24" stopIfTrue="1" operator="containsText" text="1">
      <formula>NOT(ISERROR(SEARCH("1",V53)))</formula>
    </cfRule>
  </conditionalFormatting>
  <conditionalFormatting sqref="V62:X62">
    <cfRule type="containsText" dxfId="5" priority="20" stopIfTrue="1" operator="containsText" text="1">
      <formula>NOT(ISERROR(SEARCH("1",V62)))</formula>
    </cfRule>
    <cfRule type="containsText" dxfId="4" priority="19" stopIfTrue="1" operator="containsText" text="0">
      <formula>NOT(ISERROR(SEARCH("0",V62)))</formula>
    </cfRule>
  </conditionalFormatting>
  <conditionalFormatting sqref="V71:X71">
    <cfRule type="containsText" dxfId="3" priority="16" stopIfTrue="1" operator="containsText" text="1">
      <formula>NOT(ISERROR(SEARCH("1",V71)))</formula>
    </cfRule>
    <cfRule type="containsText" dxfId="2" priority="15" stopIfTrue="1" operator="containsText" text="0">
      <formula>NOT(ISERROR(SEARCH("0",V71)))</formula>
    </cfRule>
  </conditionalFormatting>
  <conditionalFormatting sqref="V4:AA4 G4:J15 L4:O15 Q4:T15 V5:Y15 V17:X17">
    <cfRule type="containsText" dxfId="1" priority="45" stopIfTrue="1" operator="containsText" text="0">
      <formula>NOT(ISERROR(SEARCH("0",G4)))</formula>
    </cfRule>
    <cfRule type="containsText" dxfId="0" priority="46" stopIfTrue="1" operator="containsText" text="1">
      <formula>NOT(ISERROR(SEARCH("1",G4)))</formula>
    </cfRule>
  </conditionalFormatting>
  <pageMargins left="0.7" right="0.7" top="0.75" bottom="0.75" header="0.3" footer="0.3"/>
  <pageSetup paperSize="9" orientation="portrait" horizontalDpi="0" verticalDpi="0"/>
  <headerFooter>
    <oddHeader>&amp;LВариант 18&amp;CДобкес Михаил Константинович
&amp;Rit_lab5_book.xlsx</oddHeader>
    <oddFooter>&amp;C14 November 2025 at 16:31</oddFooter>
  </headerFooter>
  <ignoredErrors>
    <ignoredError sqref="AB21 AH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Добкес Михаил Константинович</dc:creator>
  <cp:lastModifiedBy>Добкес Михаил Константинович</cp:lastModifiedBy>
  <dcterms:created xsi:type="dcterms:W3CDTF">2025-11-14T13:31:00Z</dcterms:created>
  <dcterms:modified xsi:type="dcterms:W3CDTF">2025-11-22T09:54:01Z</dcterms:modified>
</cp:coreProperties>
</file>