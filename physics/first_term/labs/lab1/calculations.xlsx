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wm64/itmo/practice/itmo_cse/physics/first_term/labs/lab1/"/>
    </mc:Choice>
  </mc:AlternateContent>
  <xr:revisionPtr revIDLastSave="0" documentId="13_ncr:1_{E4101439-1809-F244-9864-BADB93CA5F47}" xr6:coauthVersionLast="47" xr6:coauthVersionMax="47" xr10:uidLastSave="{00000000-0000-0000-0000-000000000000}"/>
  <bookViews>
    <workbookView xWindow="4680" yWindow="760" windowWidth="24960" windowHeight="16380" xr2:uid="{5C85809A-1FFE-D64B-9DD2-0FF3932A7C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H2" i="1"/>
  <c r="G2" i="1"/>
  <c r="G4" i="1"/>
  <c r="B56" i="1"/>
  <c r="G1" i="1"/>
  <c r="E1" i="1" s="1"/>
  <c r="C9" i="1" l="1"/>
  <c r="C19" i="1"/>
  <c r="C29" i="1"/>
  <c r="C39" i="1"/>
  <c r="C49" i="1"/>
  <c r="C233" i="1"/>
  <c r="D233" i="1" s="1"/>
  <c r="C20" i="1"/>
  <c r="C50" i="1"/>
  <c r="C1" i="1"/>
  <c r="C23" i="1"/>
  <c r="C45" i="1"/>
  <c r="C16" i="1"/>
  <c r="C17" i="1"/>
  <c r="C28" i="1"/>
  <c r="C10" i="1"/>
  <c r="C30" i="1"/>
  <c r="C40" i="1"/>
  <c r="C13" i="1"/>
  <c r="C53" i="1"/>
  <c r="C4" i="1"/>
  <c r="C34" i="1"/>
  <c r="C15" i="1"/>
  <c r="C26" i="1"/>
  <c r="C230" i="1"/>
  <c r="D230" i="1" s="1"/>
  <c r="C27" i="1"/>
  <c r="C231" i="1"/>
  <c r="D231" i="1" s="1"/>
  <c r="C18" i="1"/>
  <c r="C232" i="1"/>
  <c r="D232" i="1" s="1"/>
  <c r="C11" i="1"/>
  <c r="C21" i="1"/>
  <c r="C31" i="1"/>
  <c r="C41" i="1"/>
  <c r="C51" i="1"/>
  <c r="C3" i="1"/>
  <c r="C43" i="1"/>
  <c r="C44" i="1"/>
  <c r="C35" i="1"/>
  <c r="C36" i="1"/>
  <c r="C38" i="1"/>
  <c r="C2" i="1"/>
  <c r="C12" i="1"/>
  <c r="C22" i="1"/>
  <c r="C32" i="1"/>
  <c r="C42" i="1"/>
  <c r="C52" i="1"/>
  <c r="C33" i="1"/>
  <c r="C14" i="1"/>
  <c r="C54" i="1"/>
  <c r="C55" i="1"/>
  <c r="C6" i="1"/>
  <c r="C47" i="1"/>
  <c r="C8" i="1"/>
  <c r="C24" i="1"/>
  <c r="C5" i="1"/>
  <c r="C25" i="1"/>
  <c r="C46" i="1"/>
  <c r="C7" i="1"/>
  <c r="C37" i="1"/>
  <c r="C48" i="1"/>
  <c r="C56" i="1"/>
  <c r="D6" i="1" l="1"/>
  <c r="L6" i="1" s="1"/>
  <c r="K6" i="1"/>
  <c r="K1" i="1"/>
  <c r="D1" i="1"/>
  <c r="D54" i="1"/>
  <c r="L54" i="1" s="1"/>
  <c r="K54" i="1"/>
  <c r="D20" i="1"/>
  <c r="L20" i="1" s="1"/>
  <c r="K20" i="1"/>
  <c r="D10" i="1"/>
  <c r="L10" i="1" s="1"/>
  <c r="K10" i="1"/>
  <c r="D23" i="1"/>
  <c r="L23" i="1" s="1"/>
  <c r="K23" i="1"/>
  <c r="D38" i="1"/>
  <c r="L38" i="1" s="1"/>
  <c r="K38" i="1"/>
  <c r="D37" i="1"/>
  <c r="L37" i="1" s="1"/>
  <c r="K37" i="1"/>
  <c r="K18" i="1"/>
  <c r="D18" i="1"/>
  <c r="L18" i="1" s="1"/>
  <c r="D46" i="1"/>
  <c r="L46" i="1" s="1"/>
  <c r="K46" i="1"/>
  <c r="D43" i="1"/>
  <c r="L43" i="1" s="1"/>
  <c r="K43" i="1"/>
  <c r="D39" i="1"/>
  <c r="L39" i="1" s="1"/>
  <c r="K39" i="1"/>
  <c r="D2" i="1"/>
  <c r="L2" i="1" s="1"/>
  <c r="K2" i="1"/>
  <c r="D48" i="1"/>
  <c r="L48" i="1" s="1"/>
  <c r="K48" i="1"/>
  <c r="D53" i="1"/>
  <c r="L53" i="1" s="1"/>
  <c r="K53" i="1"/>
  <c r="D13" i="1"/>
  <c r="L13" i="1" s="1"/>
  <c r="K13" i="1"/>
  <c r="D14" i="1"/>
  <c r="L14" i="1" s="1"/>
  <c r="K14" i="1"/>
  <c r="D30" i="1"/>
  <c r="L30" i="1" s="1"/>
  <c r="K30" i="1"/>
  <c r="D25" i="1"/>
  <c r="L25" i="1" s="1"/>
  <c r="K25" i="1"/>
  <c r="D42" i="1"/>
  <c r="L42" i="1" s="1"/>
  <c r="K42" i="1"/>
  <c r="D3" i="1"/>
  <c r="L3" i="1" s="1"/>
  <c r="K3" i="1"/>
  <c r="D51" i="1"/>
  <c r="L51" i="1" s="1"/>
  <c r="K51" i="1"/>
  <c r="D26" i="1"/>
  <c r="L26" i="1" s="1"/>
  <c r="K26" i="1"/>
  <c r="K17" i="1"/>
  <c r="D17" i="1"/>
  <c r="L17" i="1" s="1"/>
  <c r="D29" i="1"/>
  <c r="L29" i="1" s="1"/>
  <c r="K29" i="1"/>
  <c r="D4" i="1"/>
  <c r="L4" i="1" s="1"/>
  <c r="K4" i="1"/>
  <c r="D55" i="1"/>
  <c r="L55" i="1" s="1"/>
  <c r="K55" i="1"/>
  <c r="K7" i="1"/>
  <c r="D7" i="1"/>
  <c r="L7" i="1" s="1"/>
  <c r="D40" i="1"/>
  <c r="L40" i="1" s="1"/>
  <c r="K40" i="1"/>
  <c r="D33" i="1"/>
  <c r="L33" i="1" s="1"/>
  <c r="K33" i="1"/>
  <c r="D44" i="1"/>
  <c r="L44" i="1" s="1"/>
  <c r="K44" i="1"/>
  <c r="D8" i="1"/>
  <c r="L8" i="1" s="1"/>
  <c r="K8" i="1"/>
  <c r="D22" i="1"/>
  <c r="L22" i="1" s="1"/>
  <c r="K22" i="1"/>
  <c r="D41" i="1"/>
  <c r="L41" i="1" s="1"/>
  <c r="K41" i="1"/>
  <c r="D15" i="1"/>
  <c r="L15" i="1" s="1"/>
  <c r="K15" i="1"/>
  <c r="D16" i="1"/>
  <c r="L16" i="1" s="1"/>
  <c r="K16" i="1"/>
  <c r="K19" i="1"/>
  <c r="D19" i="1"/>
  <c r="L19" i="1" s="1"/>
  <c r="K21" i="1"/>
  <c r="D21" i="1"/>
  <c r="L21" i="1" s="1"/>
  <c r="D11" i="1"/>
  <c r="L11" i="1" s="1"/>
  <c r="K11" i="1"/>
  <c r="D36" i="1"/>
  <c r="L36" i="1" s="1"/>
  <c r="K36" i="1"/>
  <c r="D50" i="1"/>
  <c r="L50" i="1" s="1"/>
  <c r="K50" i="1"/>
  <c r="D35" i="1"/>
  <c r="L35" i="1" s="1"/>
  <c r="K35" i="1"/>
  <c r="D52" i="1"/>
  <c r="L52" i="1" s="1"/>
  <c r="K52" i="1"/>
  <c r="D27" i="1"/>
  <c r="L27" i="1" s="1"/>
  <c r="K27" i="1"/>
  <c r="D49" i="1"/>
  <c r="L49" i="1" s="1"/>
  <c r="K49" i="1"/>
  <c r="D5" i="1"/>
  <c r="L5" i="1" s="1"/>
  <c r="K5" i="1"/>
  <c r="D28" i="1"/>
  <c r="L28" i="1" s="1"/>
  <c r="K28" i="1"/>
  <c r="D24" i="1"/>
  <c r="L24" i="1" s="1"/>
  <c r="K24" i="1"/>
  <c r="D32" i="1"/>
  <c r="L32" i="1" s="1"/>
  <c r="K32" i="1"/>
  <c r="H1" i="1"/>
  <c r="K47" i="1"/>
  <c r="D47" i="1"/>
  <c r="L47" i="1" s="1"/>
  <c r="D12" i="1"/>
  <c r="L12" i="1" s="1"/>
  <c r="K12" i="1"/>
  <c r="D31" i="1"/>
  <c r="L31" i="1" s="1"/>
  <c r="K31" i="1"/>
  <c r="K34" i="1"/>
  <c r="D34" i="1"/>
  <c r="L34" i="1" s="1"/>
  <c r="K45" i="1"/>
  <c r="D45" i="1"/>
  <c r="L45" i="1" s="1"/>
  <c r="D9" i="1"/>
  <c r="L9" i="1" s="1"/>
  <c r="K9" i="1"/>
  <c r="D57" i="1" l="1"/>
  <c r="D56" i="1"/>
  <c r="L1" i="1"/>
  <c r="I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A4E43-2E75-1B44-B789-DD2E4921BA47}">
  <dimension ref="A1:L233"/>
  <sheetViews>
    <sheetView tabSelected="1" topLeftCell="D1" zoomScale="208" workbookViewId="0">
      <selection activeCell="I1" sqref="I1"/>
    </sheetView>
  </sheetViews>
  <sheetFormatPr baseColWidth="10" defaultRowHeight="16" x14ac:dyDescent="0.2"/>
  <cols>
    <col min="7" max="7" width="30.5" customWidth="1"/>
    <col min="8" max="8" width="19.83203125" customWidth="1"/>
  </cols>
  <sheetData>
    <row r="1" spans="1:12" x14ac:dyDescent="0.2">
      <c r="A1">
        <v>1</v>
      </c>
      <c r="B1">
        <v>40</v>
      </c>
      <c r="C1">
        <f>B1-$E$1</f>
        <v>16.454545454545453</v>
      </c>
      <c r="D1">
        <f>C1^2</f>
        <v>270.75206611570246</v>
      </c>
      <c r="E1">
        <f>G1</f>
        <v>23.545454545454547</v>
      </c>
      <c r="F1">
        <f>SUM(B1:B55)</f>
        <v>1295</v>
      </c>
      <c r="G1">
        <f>SUM(B1:B55)/55</f>
        <v>23.545454545454547</v>
      </c>
      <c r="H1">
        <f>SUM(C1:C55)/55</f>
        <v>-1.2918958832001822E-15</v>
      </c>
      <c r="I1">
        <f>SQRT(SUM(D1:D55)/55)</f>
        <v>12.300507279736189</v>
      </c>
      <c r="K1">
        <f>ROUND(C1,0)</f>
        <v>16</v>
      </c>
      <c r="L1">
        <f>ROUND(D1,0)</f>
        <v>271</v>
      </c>
    </row>
    <row r="2" spans="1:12" x14ac:dyDescent="0.2">
      <c r="A2">
        <v>2</v>
      </c>
      <c r="B2">
        <v>20</v>
      </c>
      <c r="C2">
        <f t="shared" ref="C2:C55" si="0">B2-$E$1</f>
        <v>-3.5454545454545467</v>
      </c>
      <c r="D2">
        <f t="shared" ref="D2:D55" si="1">C2^2</f>
        <v>12.570247933884307</v>
      </c>
      <c r="G2">
        <f>40-E1</f>
        <v>16.454545454545453</v>
      </c>
      <c r="H2">
        <f>G2*G2</f>
        <v>270.75206611570246</v>
      </c>
      <c r="K2">
        <f t="shared" ref="K2:K55" si="2">ROUND(C2,0)</f>
        <v>-4</v>
      </c>
      <c r="L2">
        <f t="shared" ref="L2:L55" si="3">ROUND(D2,0)</f>
        <v>13</v>
      </c>
    </row>
    <row r="3" spans="1:12" x14ac:dyDescent="0.2">
      <c r="A3">
        <v>3</v>
      </c>
      <c r="B3">
        <v>14</v>
      </c>
      <c r="C3">
        <f t="shared" si="0"/>
        <v>-9.5454545454545467</v>
      </c>
      <c r="D3">
        <f t="shared" si="1"/>
        <v>91.115702479338864</v>
      </c>
      <c r="K3">
        <f t="shared" si="2"/>
        <v>-10</v>
      </c>
      <c r="L3">
        <f t="shared" si="3"/>
        <v>91</v>
      </c>
    </row>
    <row r="4" spans="1:12" x14ac:dyDescent="0.2">
      <c r="A4">
        <v>4</v>
      </c>
      <c r="B4">
        <v>25</v>
      </c>
      <c r="C4">
        <f t="shared" si="0"/>
        <v>1.4545454545454533</v>
      </c>
      <c r="D4">
        <f t="shared" si="1"/>
        <v>2.115702479338839</v>
      </c>
      <c r="G4">
        <f>1/(I1*(SQRT(2*PI())))</f>
        <v>3.243299413014037E-2</v>
      </c>
      <c r="K4">
        <f t="shared" si="2"/>
        <v>1</v>
      </c>
      <c r="L4">
        <f t="shared" si="3"/>
        <v>2</v>
      </c>
    </row>
    <row r="5" spans="1:12" x14ac:dyDescent="0.2">
      <c r="A5">
        <v>5</v>
      </c>
      <c r="B5">
        <v>61</v>
      </c>
      <c r="C5">
        <f t="shared" si="0"/>
        <v>37.454545454545453</v>
      </c>
      <c r="D5">
        <f t="shared" si="1"/>
        <v>1402.8429752066115</v>
      </c>
      <c r="K5">
        <f t="shared" si="2"/>
        <v>37</v>
      </c>
      <c r="L5">
        <f t="shared" si="3"/>
        <v>1403</v>
      </c>
    </row>
    <row r="6" spans="1:12" x14ac:dyDescent="0.2">
      <c r="A6">
        <v>6</v>
      </c>
      <c r="B6">
        <v>63</v>
      </c>
      <c r="C6">
        <f t="shared" si="0"/>
        <v>39.454545454545453</v>
      </c>
      <c r="D6">
        <f t="shared" si="1"/>
        <v>1556.6611570247933</v>
      </c>
      <c r="K6">
        <f t="shared" si="2"/>
        <v>39</v>
      </c>
      <c r="L6">
        <f t="shared" si="3"/>
        <v>1557</v>
      </c>
    </row>
    <row r="7" spans="1:12" x14ac:dyDescent="0.2">
      <c r="A7">
        <v>7</v>
      </c>
      <c r="B7">
        <v>9</v>
      </c>
      <c r="C7">
        <f t="shared" si="0"/>
        <v>-14.545454545454547</v>
      </c>
      <c r="D7">
        <f t="shared" si="1"/>
        <v>211.57024793388433</v>
      </c>
      <c r="K7">
        <f t="shared" si="2"/>
        <v>-15</v>
      </c>
      <c r="L7">
        <f t="shared" si="3"/>
        <v>212</v>
      </c>
    </row>
    <row r="8" spans="1:12" x14ac:dyDescent="0.2">
      <c r="A8">
        <v>8</v>
      </c>
      <c r="B8">
        <v>31</v>
      </c>
      <c r="C8">
        <f t="shared" si="0"/>
        <v>7.4545454545454533</v>
      </c>
      <c r="D8">
        <f t="shared" si="1"/>
        <v>55.570247933884275</v>
      </c>
      <c r="K8">
        <f t="shared" si="2"/>
        <v>7</v>
      </c>
      <c r="L8">
        <f t="shared" si="3"/>
        <v>56</v>
      </c>
    </row>
    <row r="9" spans="1:12" x14ac:dyDescent="0.2">
      <c r="A9">
        <v>9</v>
      </c>
      <c r="B9">
        <v>23</v>
      </c>
      <c r="C9">
        <f t="shared" si="0"/>
        <v>-0.54545454545454675</v>
      </c>
      <c r="D9">
        <f t="shared" si="1"/>
        <v>0.29752066115702619</v>
      </c>
      <c r="K9">
        <f t="shared" si="2"/>
        <v>-1</v>
      </c>
      <c r="L9">
        <f t="shared" si="3"/>
        <v>0</v>
      </c>
    </row>
    <row r="10" spans="1:12" x14ac:dyDescent="0.2">
      <c r="A10">
        <v>10</v>
      </c>
      <c r="B10">
        <v>37</v>
      </c>
      <c r="C10">
        <f t="shared" si="0"/>
        <v>13.454545454545453</v>
      </c>
      <c r="D10">
        <f t="shared" si="1"/>
        <v>181.02479338842971</v>
      </c>
      <c r="K10">
        <f t="shared" si="2"/>
        <v>13</v>
      </c>
      <c r="L10">
        <f t="shared" si="3"/>
        <v>181</v>
      </c>
    </row>
    <row r="11" spans="1:12" x14ac:dyDescent="0.2">
      <c r="A11">
        <v>11</v>
      </c>
      <c r="B11">
        <v>18</v>
      </c>
      <c r="C11">
        <f t="shared" si="0"/>
        <v>-5.5454545454545467</v>
      </c>
      <c r="D11">
        <f t="shared" si="1"/>
        <v>30.752066115702494</v>
      </c>
      <c r="K11">
        <f t="shared" si="2"/>
        <v>-6</v>
      </c>
      <c r="L11">
        <f t="shared" si="3"/>
        <v>31</v>
      </c>
    </row>
    <row r="12" spans="1:12" x14ac:dyDescent="0.2">
      <c r="A12">
        <v>12</v>
      </c>
      <c r="B12">
        <v>27</v>
      </c>
      <c r="C12">
        <f t="shared" si="0"/>
        <v>3.4545454545454533</v>
      </c>
      <c r="D12">
        <f t="shared" si="1"/>
        <v>11.933884297520652</v>
      </c>
      <c r="K12">
        <f t="shared" si="2"/>
        <v>3</v>
      </c>
      <c r="L12">
        <f t="shared" si="3"/>
        <v>12</v>
      </c>
    </row>
    <row r="13" spans="1:12" x14ac:dyDescent="0.2">
      <c r="A13">
        <v>13</v>
      </c>
      <c r="B13">
        <v>12</v>
      </c>
      <c r="C13">
        <f t="shared" si="0"/>
        <v>-11.545454545454547</v>
      </c>
      <c r="D13">
        <f t="shared" si="1"/>
        <v>133.29752066115705</v>
      </c>
      <c r="K13">
        <f t="shared" si="2"/>
        <v>-12</v>
      </c>
      <c r="L13">
        <f t="shared" si="3"/>
        <v>133</v>
      </c>
    </row>
    <row r="14" spans="1:12" x14ac:dyDescent="0.2">
      <c r="A14">
        <v>14</v>
      </c>
      <c r="B14">
        <v>23</v>
      </c>
      <c r="C14">
        <f t="shared" si="0"/>
        <v>-0.54545454545454675</v>
      </c>
      <c r="D14">
        <f t="shared" si="1"/>
        <v>0.29752066115702619</v>
      </c>
      <c r="K14">
        <f t="shared" si="2"/>
        <v>-1</v>
      </c>
      <c r="L14">
        <f t="shared" si="3"/>
        <v>0</v>
      </c>
    </row>
    <row r="15" spans="1:12" x14ac:dyDescent="0.2">
      <c r="A15">
        <v>15</v>
      </c>
      <c r="B15">
        <v>28</v>
      </c>
      <c r="C15">
        <f t="shared" si="0"/>
        <v>4.4545454545454533</v>
      </c>
      <c r="D15">
        <f t="shared" si="1"/>
        <v>19.842975206611559</v>
      </c>
      <c r="K15">
        <f t="shared" si="2"/>
        <v>4</v>
      </c>
      <c r="L15">
        <f t="shared" si="3"/>
        <v>20</v>
      </c>
    </row>
    <row r="16" spans="1:12" x14ac:dyDescent="0.2">
      <c r="A16">
        <v>16</v>
      </c>
      <c r="B16">
        <v>22</v>
      </c>
      <c r="C16">
        <f t="shared" si="0"/>
        <v>-1.5454545454545467</v>
      </c>
      <c r="D16">
        <f t="shared" si="1"/>
        <v>2.3884297520661195</v>
      </c>
      <c r="K16">
        <f t="shared" si="2"/>
        <v>-2</v>
      </c>
      <c r="L16">
        <f t="shared" si="3"/>
        <v>2</v>
      </c>
    </row>
    <row r="17" spans="1:12" x14ac:dyDescent="0.2">
      <c r="A17">
        <v>17</v>
      </c>
      <c r="B17">
        <v>10</v>
      </c>
      <c r="C17">
        <f t="shared" si="0"/>
        <v>-13.545454545454547</v>
      </c>
      <c r="D17">
        <f t="shared" si="1"/>
        <v>183.47933884297524</v>
      </c>
      <c r="K17">
        <f t="shared" si="2"/>
        <v>-14</v>
      </c>
      <c r="L17">
        <f t="shared" si="3"/>
        <v>183</v>
      </c>
    </row>
    <row r="18" spans="1:12" x14ac:dyDescent="0.2">
      <c r="A18">
        <v>18</v>
      </c>
      <c r="B18">
        <v>32</v>
      </c>
      <c r="C18">
        <f t="shared" si="0"/>
        <v>8.4545454545454533</v>
      </c>
      <c r="D18">
        <f t="shared" si="1"/>
        <v>71.479338842975181</v>
      </c>
      <c r="K18">
        <f t="shared" si="2"/>
        <v>8</v>
      </c>
      <c r="L18">
        <f t="shared" si="3"/>
        <v>71</v>
      </c>
    </row>
    <row r="19" spans="1:12" x14ac:dyDescent="0.2">
      <c r="A19">
        <v>19</v>
      </c>
      <c r="B19">
        <v>8</v>
      </c>
      <c r="C19">
        <f t="shared" si="0"/>
        <v>-15.545454545454547</v>
      </c>
      <c r="D19">
        <f t="shared" si="1"/>
        <v>241.66115702479343</v>
      </c>
      <c r="K19">
        <f t="shared" si="2"/>
        <v>-16</v>
      </c>
      <c r="L19">
        <f t="shared" si="3"/>
        <v>242</v>
      </c>
    </row>
    <row r="20" spans="1:12" x14ac:dyDescent="0.2">
      <c r="A20">
        <v>20</v>
      </c>
      <c r="B20">
        <v>17</v>
      </c>
      <c r="C20">
        <f t="shared" si="0"/>
        <v>-6.5454545454545467</v>
      </c>
      <c r="D20">
        <f t="shared" si="1"/>
        <v>42.842975206611584</v>
      </c>
      <c r="K20">
        <f t="shared" si="2"/>
        <v>-7</v>
      </c>
      <c r="L20">
        <f t="shared" si="3"/>
        <v>43</v>
      </c>
    </row>
    <row r="21" spans="1:12" x14ac:dyDescent="0.2">
      <c r="A21">
        <v>21</v>
      </c>
      <c r="B21">
        <v>18</v>
      </c>
      <c r="C21">
        <f t="shared" si="0"/>
        <v>-5.5454545454545467</v>
      </c>
      <c r="D21">
        <f t="shared" si="1"/>
        <v>30.752066115702494</v>
      </c>
      <c r="K21">
        <f t="shared" si="2"/>
        <v>-6</v>
      </c>
      <c r="L21">
        <f t="shared" si="3"/>
        <v>31</v>
      </c>
    </row>
    <row r="22" spans="1:12" x14ac:dyDescent="0.2">
      <c r="A22">
        <v>22</v>
      </c>
      <c r="B22">
        <v>36</v>
      </c>
      <c r="C22">
        <f t="shared" si="0"/>
        <v>12.454545454545453</v>
      </c>
      <c r="D22">
        <f t="shared" si="1"/>
        <v>155.11570247933881</v>
      </c>
      <c r="K22">
        <f t="shared" si="2"/>
        <v>12</v>
      </c>
      <c r="L22">
        <f t="shared" si="3"/>
        <v>155</v>
      </c>
    </row>
    <row r="23" spans="1:12" x14ac:dyDescent="0.2">
      <c r="A23">
        <v>23</v>
      </c>
      <c r="B23">
        <v>16</v>
      </c>
      <c r="C23">
        <f t="shared" si="0"/>
        <v>-7.5454545454545467</v>
      </c>
      <c r="D23">
        <f t="shared" si="1"/>
        <v>56.933884297520677</v>
      </c>
      <c r="K23">
        <f t="shared" si="2"/>
        <v>-8</v>
      </c>
      <c r="L23">
        <f t="shared" si="3"/>
        <v>57</v>
      </c>
    </row>
    <row r="24" spans="1:12" x14ac:dyDescent="0.2">
      <c r="A24">
        <v>24</v>
      </c>
      <c r="B24">
        <v>23</v>
      </c>
      <c r="C24">
        <f t="shared" si="0"/>
        <v>-0.54545454545454675</v>
      </c>
      <c r="D24">
        <f t="shared" si="1"/>
        <v>0.29752066115702619</v>
      </c>
      <c r="K24">
        <f t="shared" si="2"/>
        <v>-1</v>
      </c>
      <c r="L24">
        <f t="shared" si="3"/>
        <v>0</v>
      </c>
    </row>
    <row r="25" spans="1:12" x14ac:dyDescent="0.2">
      <c r="A25">
        <v>25</v>
      </c>
      <c r="B25">
        <v>7</v>
      </c>
      <c r="C25">
        <f t="shared" si="0"/>
        <v>-16.545454545454547</v>
      </c>
      <c r="D25">
        <f t="shared" si="1"/>
        <v>273.75206611570252</v>
      </c>
      <c r="K25">
        <f t="shared" si="2"/>
        <v>-17</v>
      </c>
      <c r="L25">
        <f t="shared" si="3"/>
        <v>274</v>
      </c>
    </row>
    <row r="26" spans="1:12" x14ac:dyDescent="0.2">
      <c r="A26">
        <v>26</v>
      </c>
      <c r="B26">
        <v>6</v>
      </c>
      <c r="C26">
        <f t="shared" si="0"/>
        <v>-17.545454545454547</v>
      </c>
      <c r="D26">
        <f t="shared" si="1"/>
        <v>307.84297520661164</v>
      </c>
      <c r="K26">
        <f t="shared" si="2"/>
        <v>-18</v>
      </c>
      <c r="L26">
        <f t="shared" si="3"/>
        <v>308</v>
      </c>
    </row>
    <row r="27" spans="1:12" x14ac:dyDescent="0.2">
      <c r="A27">
        <v>27</v>
      </c>
      <c r="B27">
        <v>32</v>
      </c>
      <c r="C27">
        <f t="shared" si="0"/>
        <v>8.4545454545454533</v>
      </c>
      <c r="D27">
        <f t="shared" si="1"/>
        <v>71.479338842975181</v>
      </c>
      <c r="K27">
        <f t="shared" si="2"/>
        <v>8</v>
      </c>
      <c r="L27">
        <f t="shared" si="3"/>
        <v>71</v>
      </c>
    </row>
    <row r="28" spans="1:12" x14ac:dyDescent="0.2">
      <c r="A28">
        <v>28</v>
      </c>
      <c r="B28">
        <v>30</v>
      </c>
      <c r="C28">
        <f t="shared" si="0"/>
        <v>6.4545454545454533</v>
      </c>
      <c r="D28">
        <f t="shared" si="1"/>
        <v>41.661157024793368</v>
      </c>
      <c r="K28">
        <f t="shared" si="2"/>
        <v>6</v>
      </c>
      <c r="L28">
        <f t="shared" si="3"/>
        <v>42</v>
      </c>
    </row>
    <row r="29" spans="1:12" x14ac:dyDescent="0.2">
      <c r="A29">
        <v>29</v>
      </c>
      <c r="B29">
        <v>27</v>
      </c>
      <c r="C29">
        <f t="shared" si="0"/>
        <v>3.4545454545454533</v>
      </c>
      <c r="D29">
        <f t="shared" si="1"/>
        <v>11.933884297520652</v>
      </c>
      <c r="K29">
        <f t="shared" si="2"/>
        <v>3</v>
      </c>
      <c r="L29">
        <f t="shared" si="3"/>
        <v>12</v>
      </c>
    </row>
    <row r="30" spans="1:12" x14ac:dyDescent="0.2">
      <c r="A30">
        <v>30</v>
      </c>
      <c r="B30">
        <v>51</v>
      </c>
      <c r="C30">
        <f t="shared" si="0"/>
        <v>27.454545454545453</v>
      </c>
      <c r="D30">
        <f t="shared" si="1"/>
        <v>753.75206611570241</v>
      </c>
      <c r="K30">
        <f t="shared" si="2"/>
        <v>27</v>
      </c>
      <c r="L30">
        <f t="shared" si="3"/>
        <v>754</v>
      </c>
    </row>
    <row r="31" spans="1:12" x14ac:dyDescent="0.2">
      <c r="A31">
        <v>31</v>
      </c>
      <c r="B31">
        <v>26</v>
      </c>
      <c r="C31">
        <f t="shared" si="0"/>
        <v>2.4545454545454533</v>
      </c>
      <c r="D31">
        <f t="shared" si="1"/>
        <v>6.024793388429746</v>
      </c>
      <c r="K31">
        <f t="shared" si="2"/>
        <v>2</v>
      </c>
      <c r="L31">
        <f t="shared" si="3"/>
        <v>6</v>
      </c>
    </row>
    <row r="32" spans="1:12" x14ac:dyDescent="0.2">
      <c r="A32">
        <v>32</v>
      </c>
      <c r="B32">
        <v>29</v>
      </c>
      <c r="C32">
        <f t="shared" si="0"/>
        <v>5.4545454545454533</v>
      </c>
      <c r="D32">
        <f t="shared" si="1"/>
        <v>29.752066115702466</v>
      </c>
      <c r="K32">
        <f t="shared" si="2"/>
        <v>5</v>
      </c>
      <c r="L32">
        <f t="shared" si="3"/>
        <v>30</v>
      </c>
    </row>
    <row r="33" spans="1:12" x14ac:dyDescent="0.2">
      <c r="A33">
        <v>33</v>
      </c>
      <c r="B33">
        <v>27</v>
      </c>
      <c r="C33">
        <f t="shared" si="0"/>
        <v>3.4545454545454533</v>
      </c>
      <c r="D33">
        <f t="shared" si="1"/>
        <v>11.933884297520652</v>
      </c>
      <c r="K33">
        <f t="shared" si="2"/>
        <v>3</v>
      </c>
      <c r="L33">
        <f t="shared" si="3"/>
        <v>12</v>
      </c>
    </row>
    <row r="34" spans="1:12" x14ac:dyDescent="0.2">
      <c r="A34">
        <v>34</v>
      </c>
      <c r="B34">
        <v>20</v>
      </c>
      <c r="C34">
        <f t="shared" si="0"/>
        <v>-3.5454545454545467</v>
      </c>
      <c r="D34">
        <f t="shared" si="1"/>
        <v>12.570247933884307</v>
      </c>
      <c r="K34">
        <f t="shared" si="2"/>
        <v>-4</v>
      </c>
      <c r="L34">
        <f t="shared" si="3"/>
        <v>13</v>
      </c>
    </row>
    <row r="35" spans="1:12" x14ac:dyDescent="0.2">
      <c r="A35">
        <v>35</v>
      </c>
      <c r="B35">
        <v>30</v>
      </c>
      <c r="C35">
        <f t="shared" si="0"/>
        <v>6.4545454545454533</v>
      </c>
      <c r="D35">
        <f t="shared" si="1"/>
        <v>41.661157024793368</v>
      </c>
      <c r="K35">
        <f t="shared" si="2"/>
        <v>6</v>
      </c>
      <c r="L35">
        <f t="shared" si="3"/>
        <v>42</v>
      </c>
    </row>
    <row r="36" spans="1:12" x14ac:dyDescent="0.2">
      <c r="A36">
        <v>36</v>
      </c>
      <c r="B36">
        <v>14</v>
      </c>
      <c r="C36">
        <f t="shared" si="0"/>
        <v>-9.5454545454545467</v>
      </c>
      <c r="D36">
        <f t="shared" si="1"/>
        <v>91.115702479338864</v>
      </c>
      <c r="K36">
        <f t="shared" si="2"/>
        <v>-10</v>
      </c>
      <c r="L36">
        <f t="shared" si="3"/>
        <v>91</v>
      </c>
    </row>
    <row r="37" spans="1:12" x14ac:dyDescent="0.2">
      <c r="A37">
        <v>37</v>
      </c>
      <c r="B37">
        <v>16</v>
      </c>
      <c r="C37">
        <f t="shared" si="0"/>
        <v>-7.5454545454545467</v>
      </c>
      <c r="D37">
        <f t="shared" si="1"/>
        <v>56.933884297520677</v>
      </c>
      <c r="K37">
        <f t="shared" si="2"/>
        <v>-8</v>
      </c>
      <c r="L37">
        <f t="shared" si="3"/>
        <v>57</v>
      </c>
    </row>
    <row r="38" spans="1:12" x14ac:dyDescent="0.2">
      <c r="A38">
        <v>38</v>
      </c>
      <c r="B38">
        <v>20</v>
      </c>
      <c r="C38">
        <f t="shared" si="0"/>
        <v>-3.5454545454545467</v>
      </c>
      <c r="D38">
        <f t="shared" si="1"/>
        <v>12.570247933884307</v>
      </c>
      <c r="K38">
        <f t="shared" si="2"/>
        <v>-4</v>
      </c>
      <c r="L38">
        <f t="shared" si="3"/>
        <v>13</v>
      </c>
    </row>
    <row r="39" spans="1:12" x14ac:dyDescent="0.2">
      <c r="A39">
        <v>39</v>
      </c>
      <c r="B39">
        <v>9</v>
      </c>
      <c r="C39">
        <f t="shared" si="0"/>
        <v>-14.545454545454547</v>
      </c>
      <c r="D39">
        <f t="shared" si="1"/>
        <v>211.57024793388433</v>
      </c>
      <c r="K39">
        <f t="shared" si="2"/>
        <v>-15</v>
      </c>
      <c r="L39">
        <f t="shared" si="3"/>
        <v>212</v>
      </c>
    </row>
    <row r="40" spans="1:12" x14ac:dyDescent="0.2">
      <c r="A40">
        <v>40</v>
      </c>
      <c r="B40">
        <v>3</v>
      </c>
      <c r="C40">
        <f t="shared" si="0"/>
        <v>-20.545454545454547</v>
      </c>
      <c r="D40">
        <f t="shared" si="1"/>
        <v>422.11570247933889</v>
      </c>
      <c r="K40">
        <f t="shared" si="2"/>
        <v>-21</v>
      </c>
      <c r="L40">
        <f t="shared" si="3"/>
        <v>422</v>
      </c>
    </row>
    <row r="41" spans="1:12" x14ac:dyDescent="0.2">
      <c r="A41">
        <v>41</v>
      </c>
      <c r="B41">
        <v>16</v>
      </c>
      <c r="C41">
        <f t="shared" si="0"/>
        <v>-7.5454545454545467</v>
      </c>
      <c r="D41">
        <f t="shared" si="1"/>
        <v>56.933884297520677</v>
      </c>
      <c r="K41">
        <f t="shared" si="2"/>
        <v>-8</v>
      </c>
      <c r="L41">
        <f t="shared" si="3"/>
        <v>57</v>
      </c>
    </row>
    <row r="42" spans="1:12" x14ac:dyDescent="0.2">
      <c r="A42">
        <v>42</v>
      </c>
      <c r="B42">
        <v>16</v>
      </c>
      <c r="C42">
        <f t="shared" si="0"/>
        <v>-7.5454545454545467</v>
      </c>
      <c r="D42">
        <f t="shared" si="1"/>
        <v>56.933884297520677</v>
      </c>
      <c r="K42">
        <f t="shared" si="2"/>
        <v>-8</v>
      </c>
      <c r="L42">
        <f t="shared" si="3"/>
        <v>57</v>
      </c>
    </row>
    <row r="43" spans="1:12" x14ac:dyDescent="0.2">
      <c r="A43">
        <v>43</v>
      </c>
      <c r="B43">
        <v>15</v>
      </c>
      <c r="C43">
        <f t="shared" si="0"/>
        <v>-8.5454545454545467</v>
      </c>
      <c r="D43">
        <f t="shared" si="1"/>
        <v>73.024793388429771</v>
      </c>
      <c r="K43">
        <f t="shared" si="2"/>
        <v>-9</v>
      </c>
      <c r="L43">
        <f t="shared" si="3"/>
        <v>73</v>
      </c>
    </row>
    <row r="44" spans="1:12" x14ac:dyDescent="0.2">
      <c r="A44">
        <v>44</v>
      </c>
      <c r="B44">
        <v>22</v>
      </c>
      <c r="C44">
        <f t="shared" si="0"/>
        <v>-1.5454545454545467</v>
      </c>
      <c r="D44">
        <f t="shared" si="1"/>
        <v>2.3884297520661195</v>
      </c>
      <c r="K44">
        <f t="shared" si="2"/>
        <v>-2</v>
      </c>
      <c r="L44">
        <f t="shared" si="3"/>
        <v>2</v>
      </c>
    </row>
    <row r="45" spans="1:12" x14ac:dyDescent="0.2">
      <c r="A45">
        <v>45</v>
      </c>
      <c r="B45">
        <v>16</v>
      </c>
      <c r="C45">
        <f t="shared" si="0"/>
        <v>-7.5454545454545467</v>
      </c>
      <c r="D45">
        <f t="shared" si="1"/>
        <v>56.933884297520677</v>
      </c>
      <c r="K45">
        <f t="shared" si="2"/>
        <v>-8</v>
      </c>
      <c r="L45">
        <f t="shared" si="3"/>
        <v>57</v>
      </c>
    </row>
    <row r="46" spans="1:12" x14ac:dyDescent="0.2">
      <c r="A46">
        <v>46</v>
      </c>
      <c r="B46">
        <v>14</v>
      </c>
      <c r="C46">
        <f t="shared" si="0"/>
        <v>-9.5454545454545467</v>
      </c>
      <c r="D46">
        <f t="shared" si="1"/>
        <v>91.115702479338864</v>
      </c>
      <c r="K46">
        <f t="shared" si="2"/>
        <v>-10</v>
      </c>
      <c r="L46">
        <f t="shared" si="3"/>
        <v>91</v>
      </c>
    </row>
    <row r="47" spans="1:12" x14ac:dyDescent="0.2">
      <c r="A47">
        <v>47</v>
      </c>
      <c r="B47">
        <v>47</v>
      </c>
      <c r="C47">
        <f t="shared" si="0"/>
        <v>23.454545454545453</v>
      </c>
      <c r="D47">
        <f t="shared" si="1"/>
        <v>550.11570247933878</v>
      </c>
      <c r="K47">
        <f t="shared" si="2"/>
        <v>23</v>
      </c>
      <c r="L47">
        <f t="shared" si="3"/>
        <v>550</v>
      </c>
    </row>
    <row r="48" spans="1:12" x14ac:dyDescent="0.2">
      <c r="A48">
        <v>48</v>
      </c>
      <c r="B48">
        <v>14</v>
      </c>
      <c r="C48">
        <f t="shared" si="0"/>
        <v>-9.5454545454545467</v>
      </c>
      <c r="D48">
        <f t="shared" si="1"/>
        <v>91.115702479338864</v>
      </c>
      <c r="K48">
        <f t="shared" si="2"/>
        <v>-10</v>
      </c>
      <c r="L48">
        <f t="shared" si="3"/>
        <v>91</v>
      </c>
    </row>
    <row r="49" spans="1:12" x14ac:dyDescent="0.2">
      <c r="A49">
        <v>49</v>
      </c>
      <c r="B49">
        <v>31</v>
      </c>
      <c r="C49">
        <f t="shared" si="0"/>
        <v>7.4545454545454533</v>
      </c>
      <c r="D49">
        <f t="shared" si="1"/>
        <v>55.570247933884275</v>
      </c>
      <c r="K49">
        <f t="shared" si="2"/>
        <v>7</v>
      </c>
      <c r="L49">
        <f t="shared" si="3"/>
        <v>56</v>
      </c>
    </row>
    <row r="50" spans="1:12" x14ac:dyDescent="0.2">
      <c r="A50">
        <v>50</v>
      </c>
      <c r="B50">
        <v>29</v>
      </c>
      <c r="C50">
        <f t="shared" si="0"/>
        <v>5.4545454545454533</v>
      </c>
      <c r="D50">
        <f t="shared" si="1"/>
        <v>29.752066115702466</v>
      </c>
      <c r="K50">
        <f t="shared" si="2"/>
        <v>5</v>
      </c>
      <c r="L50">
        <f t="shared" si="3"/>
        <v>30</v>
      </c>
    </row>
    <row r="51" spans="1:12" x14ac:dyDescent="0.2">
      <c r="A51">
        <v>51</v>
      </c>
      <c r="B51">
        <v>21</v>
      </c>
      <c r="C51">
        <f t="shared" si="0"/>
        <v>-2.5454545454545467</v>
      </c>
      <c r="D51">
        <f t="shared" si="1"/>
        <v>6.4793388429752135</v>
      </c>
      <c r="K51">
        <f t="shared" si="2"/>
        <v>-3</v>
      </c>
      <c r="L51">
        <f t="shared" si="3"/>
        <v>6</v>
      </c>
    </row>
    <row r="52" spans="1:12" x14ac:dyDescent="0.2">
      <c r="A52">
        <v>52</v>
      </c>
      <c r="B52">
        <v>26</v>
      </c>
      <c r="C52">
        <f t="shared" si="0"/>
        <v>2.4545454545454533</v>
      </c>
      <c r="D52">
        <f t="shared" si="1"/>
        <v>6.024793388429746</v>
      </c>
      <c r="K52">
        <f t="shared" si="2"/>
        <v>2</v>
      </c>
      <c r="L52">
        <f t="shared" si="3"/>
        <v>6</v>
      </c>
    </row>
    <row r="53" spans="1:12" x14ac:dyDescent="0.2">
      <c r="A53">
        <v>53</v>
      </c>
      <c r="B53">
        <v>29</v>
      </c>
      <c r="C53">
        <f t="shared" si="0"/>
        <v>5.4545454545454533</v>
      </c>
      <c r="D53">
        <f t="shared" si="1"/>
        <v>29.752066115702466</v>
      </c>
      <c r="K53">
        <f t="shared" si="2"/>
        <v>5</v>
      </c>
      <c r="L53">
        <f t="shared" si="3"/>
        <v>30</v>
      </c>
    </row>
    <row r="54" spans="1:12" x14ac:dyDescent="0.2">
      <c r="A54">
        <v>54</v>
      </c>
      <c r="B54">
        <v>25</v>
      </c>
      <c r="C54">
        <f t="shared" si="0"/>
        <v>1.4545454545454533</v>
      </c>
      <c r="D54">
        <f t="shared" si="1"/>
        <v>2.115702479338839</v>
      </c>
      <c r="K54">
        <f t="shared" si="2"/>
        <v>1</v>
      </c>
      <c r="L54">
        <f t="shared" si="3"/>
        <v>2</v>
      </c>
    </row>
    <row r="55" spans="1:12" x14ac:dyDescent="0.2">
      <c r="A55">
        <v>55</v>
      </c>
      <c r="B55">
        <v>14</v>
      </c>
      <c r="C55">
        <f t="shared" si="0"/>
        <v>-9.5454545454545467</v>
      </c>
      <c r="D55">
        <f t="shared" si="1"/>
        <v>91.115702479338864</v>
      </c>
      <c r="K55">
        <f t="shared" si="2"/>
        <v>-10</v>
      </c>
      <c r="L55">
        <f t="shared" si="3"/>
        <v>91</v>
      </c>
    </row>
    <row r="56" spans="1:12" x14ac:dyDescent="0.2">
      <c r="B56">
        <f>24</f>
        <v>24</v>
      </c>
      <c r="C56">
        <f>SUM(C1:C55)</f>
        <v>-7.1054273576010019E-14</v>
      </c>
      <c r="D56">
        <f>SQRT(SUM(D1:D55)/54)</f>
        <v>12.413878407024015</v>
      </c>
    </row>
    <row r="57" spans="1:12" x14ac:dyDescent="0.2">
      <c r="D57">
        <f>SUM(D1:D55)</f>
        <v>8321.636363636364</v>
      </c>
    </row>
    <row r="230" spans="1:4" x14ac:dyDescent="0.2">
      <c r="A230">
        <v>230</v>
      </c>
      <c r="C230">
        <f t="shared" ref="C230:C233" si="4">B230-$E$1</f>
        <v>-23.545454545454547</v>
      </c>
      <c r="D230">
        <f t="shared" ref="D230:D233" si="5">C230^2</f>
        <v>554.38842975206614</v>
      </c>
    </row>
    <row r="231" spans="1:4" x14ac:dyDescent="0.2">
      <c r="A231">
        <v>231</v>
      </c>
      <c r="C231">
        <f t="shared" si="4"/>
        <v>-23.545454545454547</v>
      </c>
      <c r="D231">
        <f t="shared" si="5"/>
        <v>554.38842975206614</v>
      </c>
    </row>
    <row r="232" spans="1:4" x14ac:dyDescent="0.2">
      <c r="A232">
        <v>232</v>
      </c>
      <c r="C232">
        <f t="shared" si="4"/>
        <v>-23.545454545454547</v>
      </c>
      <c r="D232">
        <f t="shared" si="5"/>
        <v>554.38842975206614</v>
      </c>
    </row>
    <row r="233" spans="1:4" x14ac:dyDescent="0.2">
      <c r="A233">
        <v>233</v>
      </c>
      <c r="C233">
        <f t="shared" si="4"/>
        <v>-23.545454545454547</v>
      </c>
      <c r="D233">
        <f t="shared" si="5"/>
        <v>554.38842975206614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Добкес Михаил Константинович</dc:creator>
  <cp:lastModifiedBy>Добкес Михаил Константинович</cp:lastModifiedBy>
  <dcterms:created xsi:type="dcterms:W3CDTF">2026-09-05T12:34:25Z</dcterms:created>
  <dcterms:modified xsi:type="dcterms:W3CDTF">2026-09-07T18:00:46Z</dcterms:modified>
</cp:coreProperties>
</file>