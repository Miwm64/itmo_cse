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itmo_cse/physics/first_term/labs/lab2/"/>
    </mc:Choice>
  </mc:AlternateContent>
  <xr:revisionPtr revIDLastSave="0" documentId="13_ncr:1_{21C6CBE0-F5C4-5D47-8C2D-5BBD5F9070ED}" xr6:coauthVersionLast="47" xr6:coauthVersionMax="47" xr10:uidLastSave="{00000000-0000-0000-0000-000000000000}"/>
  <bookViews>
    <workbookView xWindow="0" yWindow="740" windowWidth="29400" windowHeight="18380" activeTab="1" xr2:uid="{A8378752-7FBB-B044-898E-5492180C3D0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" i="2" l="1"/>
  <c r="AN9" i="2"/>
  <c r="AL10" i="2"/>
  <c r="AL9" i="2"/>
  <c r="AL7" i="2"/>
  <c r="AL6" i="2"/>
  <c r="AL5" i="2"/>
  <c r="AL4" i="2"/>
  <c r="T2" i="1"/>
  <c r="AO3" i="2"/>
  <c r="AO4" i="2"/>
  <c r="AO5" i="2"/>
  <c r="AO6" i="2"/>
  <c r="AO2" i="2"/>
  <c r="AN3" i="2"/>
  <c r="AN4" i="2"/>
  <c r="AN5" i="2"/>
  <c r="AN6" i="2"/>
  <c r="AN2" i="2"/>
  <c r="AL3" i="2"/>
  <c r="AL2" i="2"/>
  <c r="AI3" i="2"/>
  <c r="AI4" i="2"/>
  <c r="AI5" i="2"/>
  <c r="AI6" i="2"/>
  <c r="AI2" i="2"/>
  <c r="AH3" i="2"/>
  <c r="AH4" i="2"/>
  <c r="AH5" i="2"/>
  <c r="AH6" i="2"/>
  <c r="AH2" i="2"/>
  <c r="AC3" i="2"/>
  <c r="AC4" i="2"/>
  <c r="AC5" i="2"/>
  <c r="AC6" i="2"/>
  <c r="AC2" i="2"/>
  <c r="N5" i="2"/>
  <c r="N6" i="2"/>
  <c r="M6" i="2"/>
  <c r="M5" i="2"/>
  <c r="AF3" i="2"/>
  <c r="AF4" i="2"/>
  <c r="AF2" i="2"/>
  <c r="AE3" i="2"/>
  <c r="AE4" i="2"/>
  <c r="AE5" i="2"/>
  <c r="AE6" i="2"/>
  <c r="AE2" i="2"/>
  <c r="T6" i="2"/>
  <c r="T5" i="2"/>
  <c r="T4" i="2"/>
  <c r="T3" i="2"/>
  <c r="T2" i="2"/>
  <c r="X6" i="2"/>
  <c r="J23" i="2" s="1"/>
  <c r="X5" i="2"/>
  <c r="J21" i="2" s="1"/>
  <c r="X4" i="2"/>
  <c r="J13" i="2" s="1"/>
  <c r="X3" i="2"/>
  <c r="J11" i="2" s="1"/>
  <c r="X2" i="2"/>
  <c r="J3" i="2" s="1"/>
  <c r="U5" i="2"/>
  <c r="I18" i="2" s="1"/>
  <c r="U6" i="2"/>
  <c r="I26" i="2" s="1"/>
  <c r="U4" i="2"/>
  <c r="I16" i="2" s="1"/>
  <c r="U3" i="2"/>
  <c r="I7" i="2" s="1"/>
  <c r="U2" i="2"/>
  <c r="I6" i="2" s="1"/>
  <c r="S5" i="1"/>
  <c r="S4" i="1"/>
  <c r="P3" i="1"/>
  <c r="P4" i="1"/>
  <c r="P5" i="1"/>
  <c r="P6" i="1"/>
  <c r="P2" i="1"/>
  <c r="S3" i="1" s="1"/>
  <c r="S2" i="1"/>
  <c r="O3" i="1"/>
  <c r="O4" i="1"/>
  <c r="O5" i="1"/>
  <c r="O6" i="1"/>
  <c r="O2" i="1"/>
  <c r="N3" i="1"/>
  <c r="N4" i="1"/>
  <c r="N5" i="1"/>
  <c r="N6" i="1"/>
  <c r="N2" i="1"/>
  <c r="H3" i="1"/>
  <c r="H4" i="1"/>
  <c r="H5" i="1"/>
  <c r="H6" i="1"/>
  <c r="H2" i="1"/>
  <c r="I2" i="1" s="1"/>
  <c r="L3" i="1"/>
  <c r="L4" i="1"/>
  <c r="L5" i="1"/>
  <c r="L6" i="1"/>
  <c r="L2" i="1"/>
  <c r="K3" i="1"/>
  <c r="K4" i="1"/>
  <c r="K5" i="1"/>
  <c r="K6" i="1"/>
  <c r="K2" i="1"/>
  <c r="I3" i="1"/>
  <c r="I4" i="1"/>
  <c r="I5" i="1"/>
  <c r="I6" i="1"/>
  <c r="J3" i="1"/>
  <c r="J4" i="1"/>
  <c r="J5" i="1"/>
  <c r="J6" i="1"/>
  <c r="J2" i="1"/>
  <c r="G3" i="1"/>
  <c r="G4" i="1"/>
  <c r="G5" i="1"/>
  <c r="G6" i="1"/>
  <c r="G2" i="1"/>
  <c r="B6" i="1"/>
  <c r="I5" i="2" l="1"/>
  <c r="AA6" i="2"/>
  <c r="I14" i="2"/>
  <c r="AA5" i="2"/>
  <c r="I15" i="2"/>
  <c r="I13" i="2"/>
  <c r="AA4" i="2"/>
  <c r="AA2" i="2"/>
  <c r="J2" i="2"/>
  <c r="AA3" i="2"/>
  <c r="J10" i="2"/>
  <c r="J9" i="2"/>
  <c r="J12" i="2"/>
  <c r="N4" i="2" s="1"/>
  <c r="Q4" i="2" s="1"/>
  <c r="Y4" i="2" s="1"/>
  <c r="Z4" i="2" s="1"/>
  <c r="J16" i="2"/>
  <c r="I25" i="2"/>
  <c r="J20" i="2"/>
  <c r="I21" i="2"/>
  <c r="I24" i="2"/>
  <c r="J19" i="2"/>
  <c r="J6" i="2"/>
  <c r="J8" i="2"/>
  <c r="I17" i="2"/>
  <c r="I23" i="2"/>
  <c r="J18" i="2"/>
  <c r="J22" i="2"/>
  <c r="I9" i="2"/>
  <c r="I20" i="2"/>
  <c r="J5" i="2"/>
  <c r="J15" i="2"/>
  <c r="J25" i="2"/>
  <c r="U7" i="2"/>
  <c r="I10" i="2"/>
  <c r="I19" i="2"/>
  <c r="J4" i="2"/>
  <c r="J14" i="2"/>
  <c r="J24" i="2"/>
  <c r="I4" i="2"/>
  <c r="I3" i="2"/>
  <c r="I8" i="2"/>
  <c r="J26" i="2"/>
  <c r="X7" i="2"/>
  <c r="I11" i="2"/>
  <c r="I2" i="2"/>
  <c r="I12" i="2"/>
  <c r="M4" i="2" s="1"/>
  <c r="P4" i="2" s="1"/>
  <c r="V4" i="2" s="1"/>
  <c r="W4" i="2" s="1"/>
  <c r="I22" i="2"/>
  <c r="J7" i="2"/>
  <c r="N3" i="2" s="1"/>
  <c r="Q3" i="2" s="1"/>
  <c r="Y3" i="2" s="1"/>
  <c r="Z3" i="2" s="1"/>
  <c r="J17" i="2"/>
  <c r="AB4" i="2" l="1"/>
  <c r="P5" i="2"/>
  <c r="V5" i="2" s="1"/>
  <c r="P6" i="2"/>
  <c r="Q6" i="2"/>
  <c r="Y6" i="2" s="1"/>
  <c r="Z6" i="2" s="1"/>
  <c r="N2" i="2"/>
  <c r="Q2" i="2" s="1"/>
  <c r="Y2" i="2" s="1"/>
  <c r="Z2" i="2" s="1"/>
  <c r="M3" i="2"/>
  <c r="P3" i="2" s="1"/>
  <c r="Q5" i="2"/>
  <c r="Y5" i="2" s="1"/>
  <c r="Z5" i="2" s="1"/>
  <c r="M2" i="2"/>
  <c r="P2" i="2" s="1"/>
  <c r="AF5" i="2" l="1"/>
  <c r="V3" i="2"/>
  <c r="W3" i="2" s="1"/>
  <c r="AB3" i="2"/>
  <c r="W5" i="2"/>
  <c r="AB5" i="2"/>
  <c r="V2" i="2"/>
  <c r="W2" i="2" s="1"/>
  <c r="AB2" i="2"/>
  <c r="V6" i="2"/>
  <c r="W6" i="2" l="1"/>
  <c r="AF6" i="2"/>
  <c r="AB6" i="2" s="1"/>
</calcChain>
</file>

<file path=xl/sharedStrings.xml><?xml version="1.0" encoding="utf-8"?>
<sst xmlns="http://schemas.openxmlformats.org/spreadsheetml/2006/main" count="54" uniqueCount="45">
  <si>
    <t>x1</t>
  </si>
  <si>
    <t>x2</t>
  </si>
  <si>
    <t>t1</t>
  </si>
  <si>
    <t>t2</t>
  </si>
  <si>
    <t>Y</t>
  </si>
  <si>
    <t>deltaY</t>
  </si>
  <si>
    <t>Z</t>
  </si>
  <si>
    <t>deltaZ</t>
  </si>
  <si>
    <t>δZ</t>
  </si>
  <si>
    <t>δY</t>
  </si>
  <si>
    <t>a</t>
  </si>
  <si>
    <t>Sa</t>
  </si>
  <si>
    <t>Z*Y</t>
  </si>
  <si>
    <t>Z^2</t>
  </si>
  <si>
    <t>(Y-aZ)^2</t>
  </si>
  <si>
    <t>deltaa</t>
  </si>
  <si>
    <t>δa</t>
  </si>
  <si>
    <t>h</t>
  </si>
  <si>
    <t>h'</t>
  </si>
  <si>
    <t>№</t>
  </si>
  <si>
    <t>sina</t>
  </si>
  <si>
    <t>deltat1</t>
  </si>
  <si>
    <t>δt1</t>
  </si>
  <si>
    <t>deltat2</t>
  </si>
  <si>
    <t>δt2</t>
  </si>
  <si>
    <t>(t1-&lt;t1&gt;)^2</t>
  </si>
  <si>
    <t>(t2-&lt;t2&gt;)^2</t>
  </si>
  <si>
    <t>S1</t>
  </si>
  <si>
    <t>S2</t>
  </si>
  <si>
    <t>someotherdeltat1</t>
  </si>
  <si>
    <t>someotherdeltat2</t>
  </si>
  <si>
    <t>a_left</t>
  </si>
  <si>
    <t>a_right</t>
  </si>
  <si>
    <t>B=g</t>
  </si>
  <si>
    <t>A=</t>
  </si>
  <si>
    <t>ai*sinai</t>
  </si>
  <si>
    <t>sina*sina</t>
  </si>
  <si>
    <t>Sg=</t>
  </si>
  <si>
    <t>di</t>
  </si>
  <si>
    <t>D=</t>
  </si>
  <si>
    <t>deltag=</t>
  </si>
  <si>
    <t>di^2</t>
  </si>
  <si>
    <t>St. Petersburg</t>
  </si>
  <si>
    <t>δg=</t>
  </si>
  <si>
    <t>Viktoria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</si>
</sst>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7" fontId="0" fillId="0" borderId="0" xfId="0" applyNumberFormat="1"/>
    <xf numFmtId="2" fontId="0" fillId="0" borderId="0" xfId="0" quotePrefix="1" applyNumberFormat="1"/>
    <xf numFmtId="0" fontId="0" fillId="0" borderId="0" xfId="0" quotePrefix="1"/>
    <xf numFmtId="0" fontId="0" fillId="0" borderId="0" xfId="0" applyAlignment="1"/>
    <xf numFmtId="0" fontId="1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44A8-4023-4B4B-8771-AF9A6E47F403}">
  <dimension ref="A1:T6"/>
  <sheetViews>
    <sheetView topLeftCell="N1" zoomScale="212" workbookViewId="0">
      <selection activeCell="T2" sqref="T2"/>
    </sheetView>
  </sheetViews>
  <sheetFormatPr baseColWidth="10" defaultRowHeight="16" x14ac:dyDescent="0.2"/>
  <cols>
    <col min="1" max="6" width="10.83203125" style="1"/>
    <col min="7" max="11" width="24" style="1" bestFit="1" customWidth="1"/>
    <col min="12" max="12" width="25" style="1" bestFit="1" customWidth="1"/>
    <col min="13" max="13" width="10.83203125" style="1"/>
    <col min="14" max="14" width="12.6640625" style="1" bestFit="1" customWidth="1"/>
    <col min="15" max="15" width="13.6640625" style="1" bestFit="1" customWidth="1"/>
    <col min="16" max="16" width="12.6640625" style="1" bestFit="1" customWidth="1"/>
    <col min="17" max="18" width="10.83203125" style="1"/>
    <col min="19" max="19" width="17.5" style="1" customWidth="1"/>
    <col min="20" max="20" width="11.33203125" style="1" customWidth="1"/>
    <col min="21" max="16384" width="10.83203125" style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  <c r="I1" t="s">
        <v>9</v>
      </c>
      <c r="J1" s="1" t="s">
        <v>6</v>
      </c>
      <c r="K1" s="1" t="s">
        <v>7</v>
      </c>
      <c r="L1" t="s">
        <v>8</v>
      </c>
      <c r="N1" s="1" t="s">
        <v>12</v>
      </c>
      <c r="O1" s="3" t="s">
        <v>13</v>
      </c>
      <c r="P1" s="3" t="s">
        <v>14</v>
      </c>
    </row>
    <row r="2" spans="1:20" x14ac:dyDescent="0.2">
      <c r="A2" s="1">
        <v>0.15</v>
      </c>
      <c r="B2" s="1">
        <v>0.4</v>
      </c>
      <c r="C2" s="1">
        <v>1.2</v>
      </c>
      <c r="D2" s="1">
        <v>2.6</v>
      </c>
      <c r="G2" s="2">
        <f>B2-A2</f>
        <v>0.25</v>
      </c>
      <c r="H2" s="2">
        <f>SQRT(2)*1/100</f>
        <v>1.4142135623730951E-2</v>
      </c>
      <c r="I2" s="2">
        <f>H2/G2*100</f>
        <v>5.6568542494923806</v>
      </c>
      <c r="J2" s="2">
        <f>(D2*D2-C2*C2)/2</f>
        <v>2.66</v>
      </c>
      <c r="K2" s="2">
        <f>0.1*(SQRT(C2*C2+D2*D2))</f>
        <v>0.28635642126552713</v>
      </c>
      <c r="L2" s="2">
        <f>K2/J2*100</f>
        <v>10.765278994944628</v>
      </c>
      <c r="N2" s="2">
        <f>J2*G2</f>
        <v>0.66500000000000004</v>
      </c>
      <c r="O2" s="2">
        <f>J2*J2</f>
        <v>7.0756000000000006</v>
      </c>
      <c r="P2" s="2">
        <f>(G2-S$2*J2)*(G2-S$2*J2)</f>
        <v>1.3565523531454305E-3</v>
      </c>
      <c r="Q2" s="2"/>
      <c r="R2" s="2" t="s">
        <v>10</v>
      </c>
      <c r="S2" s="2">
        <f>SUM(N2:N6)/SUM(O2:O6)</f>
        <v>0.10783135505325717</v>
      </c>
      <c r="T2" s="1">
        <f>S2*9</f>
        <v>0.97048219547931447</v>
      </c>
    </row>
    <row r="3" spans="1:20" x14ac:dyDescent="0.2">
      <c r="A3" s="1">
        <v>0.15</v>
      </c>
      <c r="B3" s="1">
        <v>0.5</v>
      </c>
      <c r="C3" s="1">
        <v>1.2</v>
      </c>
      <c r="D3" s="1">
        <v>2.9</v>
      </c>
      <c r="G3" s="2">
        <f t="shared" ref="G3:G6" si="0">B3-A3</f>
        <v>0.35</v>
      </c>
      <c r="H3" s="2">
        <f t="shared" ref="H3:H6" si="1">SQRT(2)*1/100</f>
        <v>1.4142135623730951E-2</v>
      </c>
      <c r="I3" s="2">
        <f t="shared" ref="I3:I6" si="2">H3/G3*100</f>
        <v>4.0406101782088433</v>
      </c>
      <c r="J3" s="2">
        <f t="shared" ref="J3:J6" si="3">(D3*D3-C3*C3)/2</f>
        <v>3.4850000000000003</v>
      </c>
      <c r="K3" s="2">
        <f t="shared" ref="K3:K6" si="4">0.1*(SQRT(C3*C3+D3*D3))</f>
        <v>0.31384709652950432</v>
      </c>
      <c r="L3" s="2">
        <f t="shared" ref="L3:L6" si="5">K3/J3*100</f>
        <v>9.0056555675610994</v>
      </c>
      <c r="N3" s="2">
        <f t="shared" ref="N3:N6" si="6">J3*G3</f>
        <v>1.2197500000000001</v>
      </c>
      <c r="O3" s="2">
        <f t="shared" ref="O3:O6" si="7">J3*J3</f>
        <v>12.145225000000002</v>
      </c>
      <c r="P3" s="2">
        <f>(G3-S$2*J3)*(G3-S$2*J3)</f>
        <v>6.652413135234365E-4</v>
      </c>
      <c r="Q3" s="2"/>
      <c r="R3" s="2" t="s">
        <v>11</v>
      </c>
      <c r="S3" s="2">
        <f>SQRT(SUM(P2:P6)/(4*SUM(O2:O6)))</f>
        <v>3.9047566859377772E-3</v>
      </c>
    </row>
    <row r="4" spans="1:20" x14ac:dyDescent="0.2">
      <c r="A4" s="1">
        <v>0.15</v>
      </c>
      <c r="B4" s="1">
        <v>0.7</v>
      </c>
      <c r="C4" s="1">
        <v>1.2</v>
      </c>
      <c r="D4" s="1">
        <v>3.5</v>
      </c>
      <c r="G4" s="2">
        <f t="shared" si="0"/>
        <v>0.54999999999999993</v>
      </c>
      <c r="H4" s="2">
        <f t="shared" si="1"/>
        <v>1.4142135623730951E-2</v>
      </c>
      <c r="I4" s="2">
        <f t="shared" si="2"/>
        <v>2.5712973861329003</v>
      </c>
      <c r="J4" s="2">
        <f t="shared" si="3"/>
        <v>5.4050000000000002</v>
      </c>
      <c r="K4" s="2">
        <f t="shared" si="4"/>
        <v>0.37</v>
      </c>
      <c r="L4" s="2">
        <f t="shared" si="5"/>
        <v>6.8455134135060129</v>
      </c>
      <c r="N4" s="2">
        <f t="shared" si="6"/>
        <v>2.9727499999999996</v>
      </c>
      <c r="O4" s="2">
        <f t="shared" si="7"/>
        <v>29.214025000000003</v>
      </c>
      <c r="P4" s="2">
        <f>(G4-S$2*J4)*(G4-S$2*J4)</f>
        <v>1.0777087092955469E-3</v>
      </c>
      <c r="Q4" s="2"/>
      <c r="R4" s="2" t="s">
        <v>15</v>
      </c>
      <c r="S4" s="2">
        <f>S3*2</f>
        <v>7.8095133718755544E-3</v>
      </c>
    </row>
    <row r="5" spans="1:20" x14ac:dyDescent="0.2">
      <c r="A5" s="1">
        <v>0.15</v>
      </c>
      <c r="B5" s="1">
        <v>0.9</v>
      </c>
      <c r="C5" s="1">
        <v>1.2</v>
      </c>
      <c r="D5" s="1">
        <v>4</v>
      </c>
      <c r="G5" s="2">
        <f t="shared" si="0"/>
        <v>0.75</v>
      </c>
      <c r="H5" s="2">
        <f t="shared" si="1"/>
        <v>1.4142135623730951E-2</v>
      </c>
      <c r="I5" s="2">
        <f t="shared" si="2"/>
        <v>1.8856180831641267</v>
      </c>
      <c r="J5" s="2">
        <f t="shared" si="3"/>
        <v>7.28</v>
      </c>
      <c r="K5" s="2">
        <f t="shared" si="4"/>
        <v>0.41761226035642207</v>
      </c>
      <c r="L5" s="2">
        <f t="shared" si="5"/>
        <v>5.7364321477530504</v>
      </c>
      <c r="N5" s="2">
        <f t="shared" si="6"/>
        <v>5.46</v>
      </c>
      <c r="O5" s="2">
        <f t="shared" si="7"/>
        <v>52.998400000000004</v>
      </c>
      <c r="P5" s="2">
        <f>(G5-S$2*J5)*(G5-S$2*J5)</f>
        <v>1.2258586855648746E-3</v>
      </c>
      <c r="Q5" s="2"/>
      <c r="R5" s="2" t="s">
        <v>16</v>
      </c>
      <c r="S5" s="2">
        <f>S4/S2*100</f>
        <v>7.2423400114173555</v>
      </c>
    </row>
    <row r="6" spans="1:20" x14ac:dyDescent="0.2">
      <c r="A6" s="1">
        <v>0.15</v>
      </c>
      <c r="B6" s="1">
        <f>0.1+1</f>
        <v>1.1000000000000001</v>
      </c>
      <c r="C6" s="1">
        <v>1.2</v>
      </c>
      <c r="D6" s="1">
        <v>4.2</v>
      </c>
      <c r="G6" s="2">
        <f t="shared" si="0"/>
        <v>0.95000000000000007</v>
      </c>
      <c r="H6" s="2">
        <f t="shared" si="1"/>
        <v>1.4142135623730951E-2</v>
      </c>
      <c r="I6" s="2">
        <f t="shared" si="2"/>
        <v>1.4886458551295736</v>
      </c>
      <c r="J6" s="2">
        <f t="shared" si="3"/>
        <v>8.1</v>
      </c>
      <c r="K6" s="2">
        <f t="shared" si="4"/>
        <v>0.43680659335683114</v>
      </c>
      <c r="L6" s="2">
        <f t="shared" si="5"/>
        <v>5.3926739920596445</v>
      </c>
      <c r="N6" s="2">
        <f t="shared" si="6"/>
        <v>7.6950000000000003</v>
      </c>
      <c r="O6" s="2">
        <f t="shared" si="7"/>
        <v>65.61</v>
      </c>
      <c r="P6" s="2">
        <f>(G6-S$2*J6)*(G6-S$2*J6)</f>
        <v>5.8623560416760393E-3</v>
      </c>
      <c r="Q6" s="2"/>
      <c r="R6" s="2"/>
      <c r="S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F8A3-8AD3-404D-948E-E16663B5E4A4}">
  <dimension ref="A1:AO56"/>
  <sheetViews>
    <sheetView tabSelected="1" topLeftCell="AG1" zoomScale="256" workbookViewId="0">
      <selection activeCell="AL10" sqref="AL10"/>
    </sheetView>
  </sheetViews>
  <sheetFormatPr baseColWidth="10" defaultRowHeight="16" x14ac:dyDescent="0.2"/>
  <cols>
    <col min="41" max="41" width="11.1640625" bestFit="1" customWidth="1"/>
  </cols>
  <sheetData>
    <row r="1" spans="1:41" x14ac:dyDescent="0.2">
      <c r="B1" t="s">
        <v>17</v>
      </c>
      <c r="C1" s="4" t="s">
        <v>18</v>
      </c>
      <c r="D1" t="s">
        <v>19</v>
      </c>
      <c r="E1" t="s">
        <v>2</v>
      </c>
      <c r="F1" t="s">
        <v>3</v>
      </c>
      <c r="I1" s="3" t="s">
        <v>25</v>
      </c>
      <c r="J1" s="3" t="s">
        <v>26</v>
      </c>
      <c r="M1" t="s">
        <v>27</v>
      </c>
      <c r="N1" t="s">
        <v>28</v>
      </c>
      <c r="P1" t="s">
        <v>29</v>
      </c>
      <c r="Q1" t="s">
        <v>30</v>
      </c>
      <c r="T1" t="s">
        <v>20</v>
      </c>
      <c r="U1" t="s">
        <v>2</v>
      </c>
      <c r="V1" t="s">
        <v>21</v>
      </c>
      <c r="W1" t="s">
        <v>22</v>
      </c>
      <c r="X1" t="s">
        <v>3</v>
      </c>
      <c r="Y1" t="s">
        <v>23</v>
      </c>
      <c r="Z1" t="s">
        <v>24</v>
      </c>
      <c r="AA1" t="s">
        <v>10</v>
      </c>
      <c r="AB1" t="s">
        <v>15</v>
      </c>
      <c r="AC1" t="s">
        <v>16</v>
      </c>
      <c r="AE1" t="s">
        <v>31</v>
      </c>
      <c r="AF1" t="s">
        <v>32</v>
      </c>
      <c r="AH1" t="s">
        <v>35</v>
      </c>
      <c r="AI1" t="s">
        <v>36</v>
      </c>
      <c r="AN1" t="s">
        <v>38</v>
      </c>
      <c r="AO1" t="s">
        <v>41</v>
      </c>
    </row>
    <row r="2" spans="1:41" x14ac:dyDescent="0.2">
      <c r="A2" s="7">
        <v>1</v>
      </c>
      <c r="B2" s="7">
        <v>0.191</v>
      </c>
      <c r="C2" s="7">
        <v>0.183</v>
      </c>
      <c r="D2" s="1">
        <v>1</v>
      </c>
      <c r="E2" s="1">
        <v>1.2</v>
      </c>
      <c r="F2" s="1">
        <v>4.3</v>
      </c>
      <c r="I2">
        <f>POWER((E2-U$2), 2)</f>
        <v>0</v>
      </c>
      <c r="J2">
        <f>POWER((F2-X$2), 2)</f>
        <v>0</v>
      </c>
      <c r="L2">
        <v>1</v>
      </c>
      <c r="M2">
        <f>SQRT(SUM(I2:I6)/20)</f>
        <v>0</v>
      </c>
      <c r="N2">
        <f>SQRT(SUM(J2:J6)/20)</f>
        <v>3.1622776601683819E-2</v>
      </c>
      <c r="P2">
        <f>2.78*M2</f>
        <v>0</v>
      </c>
      <c r="Q2">
        <f>2.78*N2</f>
        <v>8.7911318952681006E-2</v>
      </c>
      <c r="S2" s="1">
        <v>1</v>
      </c>
      <c r="T2">
        <f>ABS(((0.181-B2)-(0.183-C2))/(1-0.22))</f>
        <v>1.2820512820512832E-2</v>
      </c>
      <c r="U2">
        <f>SUM(E2:E6)/5</f>
        <v>1.2</v>
      </c>
      <c r="V2">
        <f>SQRT(POWER(P2,2)+POWER(2/3*0.1,2))</f>
        <v>6.6666666666666666E-2</v>
      </c>
      <c r="W2">
        <f>V2/U2*100</f>
        <v>5.5555555555555562</v>
      </c>
      <c r="X2">
        <f>SUM(F2:F6)/5</f>
        <v>4.3</v>
      </c>
      <c r="Y2">
        <f>SQRT(POWER(Q2,2)+POWER(2/3*0.1,2))</f>
        <v>0.11033061426659627</v>
      </c>
      <c r="Z2">
        <f>Y2/X2*100</f>
        <v>2.5658282387580527</v>
      </c>
      <c r="AA2">
        <f>(2*(1.1-0.15))/(POWER(X2,2)-POWER(U2,2))</f>
        <v>0.11143695014662759</v>
      </c>
      <c r="AB2">
        <f>AA2*SQRT(AE2+AF2*4)</f>
        <v>6.5041978791994543E-3</v>
      </c>
      <c r="AC2">
        <f>AB2/AA2*100</f>
        <v>5.8366617810710872</v>
      </c>
      <c r="AE2">
        <f>(POWER(0.01,2)*2)/POWER(1.1-0.15,2)</f>
        <v>2.2160664819944597E-4</v>
      </c>
      <c r="AF2">
        <f>(POWER(U2*V2,2)+POWER(X2*Y2,2))/POWER(POWER(X2,2)-POWER(U2,2),2)</f>
        <v>7.962638566155366E-4</v>
      </c>
      <c r="AH2">
        <f>AA2*T2</f>
        <v>1.4286788480336885E-3</v>
      </c>
      <c r="AI2">
        <f>T2*T2</f>
        <v>1.643655489809339E-4</v>
      </c>
      <c r="AK2" t="s">
        <v>33</v>
      </c>
      <c r="AL2">
        <f>(SUM(AH2:AH6)-1/5*SUM(AA2:AA6)*SUM(T2:T6))/(SUM(AI2:AI6)-1/5*POWER(SUM(T2:T6),2))</f>
        <v>10.014690389949301</v>
      </c>
      <c r="AN2">
        <f>AA2-($AL$3+$AL$2*T2)</f>
        <v>-1.2172490019756593E-3</v>
      </c>
      <c r="AO2">
        <f>POWER(AN2,2)</f>
        <v>1.4816951328107387E-6</v>
      </c>
    </row>
    <row r="3" spans="1:41" x14ac:dyDescent="0.2">
      <c r="A3" s="7"/>
      <c r="B3" s="7"/>
      <c r="C3" s="7"/>
      <c r="D3" s="1">
        <v>2</v>
      </c>
      <c r="E3" s="1">
        <v>1.2</v>
      </c>
      <c r="F3" s="1">
        <v>4.2</v>
      </c>
      <c r="I3">
        <f>POWER((E3-U$2), 2)</f>
        <v>0</v>
      </c>
      <c r="J3">
        <f>POWER((F3-X$2), 2)</f>
        <v>9.9999999999999291E-3</v>
      </c>
      <c r="L3">
        <v>2</v>
      </c>
      <c r="M3">
        <f>SQRT(SUM(I7:I11)/20)</f>
        <v>2.4494897427831772E-2</v>
      </c>
      <c r="N3">
        <f>SQRT(SUM(J7:J11)/20)</f>
        <v>0</v>
      </c>
      <c r="P3">
        <f>2.78*M3</f>
        <v>6.8095814849372327E-2</v>
      </c>
      <c r="Q3">
        <f>2.78*N3</f>
        <v>0</v>
      </c>
      <c r="S3" s="1">
        <v>2</v>
      </c>
      <c r="T3">
        <f>ABS(((0.181-B7)-(0.183-C7))/(1-0.22))</f>
        <v>2.5641025641025664E-2</v>
      </c>
      <c r="U3">
        <f>SUM(E7:E11)/5</f>
        <v>0.84000000000000008</v>
      </c>
      <c r="V3">
        <f>SQRT(POWER(P3,2)+POWER(2/3*0.1,2))</f>
        <v>9.5296822845488613E-2</v>
      </c>
      <c r="W3">
        <f>V3/U3*100</f>
        <v>11.344859862558167</v>
      </c>
      <c r="X3">
        <f>SUM(F7:F11)/5</f>
        <v>3</v>
      </c>
      <c r="Y3">
        <f>SQRT(POWER(Q3,2)+POWER(2/3*0.1,2))</f>
        <v>6.6666666666666666E-2</v>
      </c>
      <c r="Z3">
        <f>Y3/X3*100</f>
        <v>2.2222222222222223</v>
      </c>
      <c r="AA3">
        <f t="shared" ref="AA3:AA6" si="0">(2*(1.1-0.15))/(POWER(X3,2)-POWER(U3,2))</f>
        <v>0.22907021604938274</v>
      </c>
      <c r="AB3">
        <f t="shared" ref="AB3:AB6" si="1">AA3*SQRT(AE3+AF3*4)</f>
        <v>1.2377965416684964E-2</v>
      </c>
      <c r="AC3">
        <f t="shared" ref="AC3:AC6" si="2">AB3/AA3*100</f>
        <v>5.4035682290606184</v>
      </c>
      <c r="AE3">
        <f t="shared" ref="AE3:AE6" si="3">(POWER(0.01,2)*2)/POWER(1.1-0.15,2)</f>
        <v>2.2160664819944597E-4</v>
      </c>
      <c r="AF3">
        <f t="shared" ref="AF3:AF6" si="4">(POWER(U3*V3,2)+POWER(X3*Y3,2))/POWER(POWER(X3,2)-POWER(U3,2),2)</f>
        <v>6.7456207810297133E-4</v>
      </c>
      <c r="AH3">
        <f t="shared" ref="AH3:AH6" si="5">AA3*T3</f>
        <v>5.8735952833175115E-3</v>
      </c>
      <c r="AI3">
        <f t="shared" ref="AI3:AI6" si="6">T3*T3</f>
        <v>6.5746219592373561E-4</v>
      </c>
      <c r="AK3" t="s">
        <v>34</v>
      </c>
      <c r="AL3">
        <f>1/5*(SUM(AA2:AA6)-AL2*SUM(T2:T6))</f>
        <v>-1.5739267389208413E-2</v>
      </c>
      <c r="AN3">
        <f t="shared" ref="AN3:AN6" si="7">AA3-($AL$3+$AL$2*T3)</f>
        <v>-1.1977449637032178E-2</v>
      </c>
      <c r="AO3">
        <f t="shared" ref="AO3:AO6" si="8">POWER(AN3,2)</f>
        <v>1.4345929980764225E-4</v>
      </c>
    </row>
    <row r="4" spans="1:41" x14ac:dyDescent="0.2">
      <c r="A4" s="7"/>
      <c r="B4" s="7"/>
      <c r="C4" s="7"/>
      <c r="D4" s="1">
        <v>3</v>
      </c>
      <c r="E4" s="1">
        <v>1.2</v>
      </c>
      <c r="F4" s="1">
        <v>4.3</v>
      </c>
      <c r="I4">
        <f>POWER((E4-U$2), 2)</f>
        <v>0</v>
      </c>
      <c r="J4">
        <f>POWER((F4-X$2), 2)</f>
        <v>0</v>
      </c>
      <c r="L4">
        <v>3</v>
      </c>
      <c r="M4">
        <f>SQRT(SUM(I12:I16)/20)</f>
        <v>2.4494897427831803E-2</v>
      </c>
      <c r="N4">
        <f>SQRT(SUM(J12:J16)/20)</f>
        <v>2.0000000000000018E-2</v>
      </c>
      <c r="P4">
        <f>2.78*M4</f>
        <v>6.809581484937241E-2</v>
      </c>
      <c r="Q4">
        <f>2.78*N4</f>
        <v>5.5600000000000045E-2</v>
      </c>
      <c r="S4" s="1">
        <v>3</v>
      </c>
      <c r="T4">
        <f>ABS(((0.181-B12)-(0.183-C12))/(1-0.22))</f>
        <v>3.5897435897435895E-2</v>
      </c>
      <c r="U4">
        <f>SUM(E12:E16)/5</f>
        <v>0.76000000000000012</v>
      </c>
      <c r="V4">
        <f>SQRT(POWER(P4,2)+POWER(2/3*0.1,2))</f>
        <v>9.5296822845488682E-2</v>
      </c>
      <c r="W4">
        <f>V4/U4*100</f>
        <v>12.539055637564298</v>
      </c>
      <c r="X4">
        <f>SUM(F12:F16)/5</f>
        <v>2.42</v>
      </c>
      <c r="Y4">
        <f>SQRT(POWER(Q4,2)+POWER(2/3*0.1,2))</f>
        <v>8.6809011308990561E-2</v>
      </c>
      <c r="Z4">
        <f>Y4/X4*100</f>
        <v>3.5871492276442383</v>
      </c>
      <c r="AA4">
        <f t="shared" si="0"/>
        <v>0.35993028718648185</v>
      </c>
      <c r="AB4">
        <f t="shared" si="1"/>
        <v>3.0772708928984649E-2</v>
      </c>
      <c r="AC4">
        <f t="shared" si="2"/>
        <v>8.5496303102275863</v>
      </c>
      <c r="AE4">
        <f t="shared" si="3"/>
        <v>2.2160664819944597E-4</v>
      </c>
      <c r="AF4">
        <f t="shared" si="4"/>
        <v>1.7720027989891949E-3</v>
      </c>
      <c r="AH4">
        <f t="shared" si="5"/>
        <v>1.2920574411822424E-2</v>
      </c>
      <c r="AI4">
        <f t="shared" si="6"/>
        <v>1.2886259040105193E-3</v>
      </c>
      <c r="AK4" t="s">
        <v>39</v>
      </c>
      <c r="AL4">
        <f>SUM(AI2:AI6)-1/5*(POWER(SUM(T2:T6),2))</f>
        <v>1.2754766600920437E-3</v>
      </c>
      <c r="AN4">
        <f t="shared" si="7"/>
        <v>1.616784826981793E-2</v>
      </c>
      <c r="AO4">
        <f t="shared" si="8"/>
        <v>2.6139931767585464E-4</v>
      </c>
    </row>
    <row r="5" spans="1:41" x14ac:dyDescent="0.2">
      <c r="A5" s="7"/>
      <c r="B5" s="7"/>
      <c r="C5" s="7"/>
      <c r="D5" s="1">
        <v>4</v>
      </c>
      <c r="E5" s="1">
        <v>1.2</v>
      </c>
      <c r="F5" s="1">
        <v>4.3</v>
      </c>
      <c r="I5">
        <f>POWER((E5-U$2), 2)</f>
        <v>0</v>
      </c>
      <c r="J5">
        <f>POWER((F5-X$2), 2)</f>
        <v>0</v>
      </c>
      <c r="L5">
        <v>4</v>
      </c>
      <c r="M5">
        <f>SQRT(SUM(I17:I21)/20)</f>
        <v>1.9999999999999997E-2</v>
      </c>
      <c r="N5">
        <f>SQRT(SUM(J17:J21)/20)</f>
        <v>2.4494897427831803E-2</v>
      </c>
      <c r="P5">
        <f>2.78*M5</f>
        <v>5.559999999999999E-2</v>
      </c>
      <c r="Q5">
        <f>2.78*N5</f>
        <v>6.809581484937241E-2</v>
      </c>
      <c r="S5" s="1">
        <v>4</v>
      </c>
      <c r="T5">
        <f>ABS(((0.181-B17)-(0.183-C17))/(1-0.22))</f>
        <v>4.6153846153846156E-2</v>
      </c>
      <c r="U5">
        <f>SUM(E17:E21)/5</f>
        <v>0.62</v>
      </c>
      <c r="V5">
        <f>SQRT(POWER(P5,2)+POWER(2/3*0.1,2))</f>
        <v>8.6809011308990519E-2</v>
      </c>
      <c r="W5">
        <f>V5/U5*100</f>
        <v>14.001453436933955</v>
      </c>
      <c r="X5">
        <f>SUM(F17:F21)/5</f>
        <v>2.14</v>
      </c>
      <c r="Y5">
        <f>SQRT(POWER(Q5,2)+POWER(2/3*0.1,2))</f>
        <v>9.5296822845488682E-2</v>
      </c>
      <c r="Z5">
        <f>Y5/X5*100</f>
        <v>4.4531225628733022</v>
      </c>
      <c r="AA5">
        <f t="shared" si="0"/>
        <v>0.45289855072463775</v>
      </c>
      <c r="AB5">
        <f t="shared" si="1"/>
        <v>4.6036211268525112E-2</v>
      </c>
      <c r="AC5">
        <f t="shared" si="2"/>
        <v>10.164795448090343</v>
      </c>
      <c r="AE5">
        <f t="shared" si="3"/>
        <v>2.2160664819944597E-4</v>
      </c>
      <c r="AF5">
        <f>(POWER(U5*V5,2)+POWER(X5*Y5,2))/POWER(POWER(X5,2)-POWER(U5,2),2)</f>
        <v>2.5276750004880923E-3</v>
      </c>
      <c r="AH5">
        <f t="shared" si="5"/>
        <v>2.0903010033444819E-2</v>
      </c>
      <c r="AI5">
        <f t="shared" si="6"/>
        <v>2.1301775147928997E-3</v>
      </c>
      <c r="AK5" t="s">
        <v>37</v>
      </c>
      <c r="AL5">
        <f>SQRT(SUM(AO2:AO6)/(AL4*3))</f>
        <v>0.37421117542442661</v>
      </c>
      <c r="AN5">
        <f t="shared" si="7"/>
        <v>6.4213385777245335E-3</v>
      </c>
      <c r="AO5">
        <f t="shared" si="8"/>
        <v>4.1233589129773336E-5</v>
      </c>
    </row>
    <row r="6" spans="1:41" x14ac:dyDescent="0.2">
      <c r="A6" s="7"/>
      <c r="B6" s="7"/>
      <c r="C6" s="7"/>
      <c r="D6" s="1">
        <v>5</v>
      </c>
      <c r="E6" s="1">
        <v>1.2</v>
      </c>
      <c r="F6" s="1">
        <v>4.4000000000000004</v>
      </c>
      <c r="I6">
        <f>POWER((E6-U$2), 2)</f>
        <v>0</v>
      </c>
      <c r="J6">
        <f>POWER((F6-X$2), 2)</f>
        <v>1.0000000000000106E-2</v>
      </c>
      <c r="L6">
        <v>5</v>
      </c>
      <c r="M6">
        <f>SQRT(SUM(I22:I26)/20)</f>
        <v>0</v>
      </c>
      <c r="N6">
        <f>SQRT(SUM(J22:J26)/20)</f>
        <v>0</v>
      </c>
      <c r="P6">
        <f>2.78*M6</f>
        <v>0</v>
      </c>
      <c r="Q6">
        <f>2.78*N6</f>
        <v>0</v>
      </c>
      <c r="S6" s="1">
        <v>5</v>
      </c>
      <c r="T6">
        <f>ABS(((0.181-B22)-(0.183-C22))/(1-0.22))</f>
        <v>5.8974358974358987E-2</v>
      </c>
      <c r="U6">
        <f>SUM(E22:E26)/5</f>
        <v>0.5</v>
      </c>
      <c r="V6">
        <f>SQRT(POWER(P6,2)+POWER(2/3*0.1,2))</f>
        <v>6.6666666666666666E-2</v>
      </c>
      <c r="W6">
        <f>V6/U6*100</f>
        <v>13.333333333333334</v>
      </c>
      <c r="X6">
        <f>SUM(F22:F26)/5</f>
        <v>1.9</v>
      </c>
      <c r="Y6">
        <f>SQRT(POWER(Q6,2)+POWER(2/3*0.1,2))</f>
        <v>6.6666666666666666E-2</v>
      </c>
      <c r="Z6">
        <f>Y6/X6*100</f>
        <v>3.5087719298245612</v>
      </c>
      <c r="AA6">
        <f t="shared" si="0"/>
        <v>0.56547619047619058</v>
      </c>
      <c r="AB6">
        <f t="shared" si="1"/>
        <v>4.4883152636172999E-2</v>
      </c>
      <c r="AC6">
        <f t="shared" si="2"/>
        <v>7.9372312030284871</v>
      </c>
      <c r="AE6">
        <f t="shared" si="3"/>
        <v>2.2160664819944597E-4</v>
      </c>
      <c r="AF6">
        <f t="shared" si="4"/>
        <v>1.5195893172083648E-3</v>
      </c>
      <c r="AH6">
        <f t="shared" si="5"/>
        <v>3.3348595848595862E-2</v>
      </c>
      <c r="AI6">
        <f t="shared" si="6"/>
        <v>3.4779750164365564E-3</v>
      </c>
      <c r="AK6" t="s">
        <v>40</v>
      </c>
      <c r="AL6">
        <f>2*AL5</f>
        <v>0.74842235084885322</v>
      </c>
      <c r="AN6">
        <f t="shared" si="7"/>
        <v>-9.3944882085342796E-3</v>
      </c>
      <c r="AO6">
        <f t="shared" si="8"/>
        <v>8.8256408700289611E-5</v>
      </c>
    </row>
    <row r="7" spans="1:41" x14ac:dyDescent="0.2">
      <c r="A7" s="7">
        <v>2</v>
      </c>
      <c r="B7" s="7">
        <v>0.20100000000000001</v>
      </c>
      <c r="C7" s="7">
        <v>0.183</v>
      </c>
      <c r="D7" s="1">
        <v>1</v>
      </c>
      <c r="E7" s="1">
        <v>0.9</v>
      </c>
      <c r="F7" s="1">
        <v>3</v>
      </c>
      <c r="I7">
        <f>POWER((E7-U$3), 2)</f>
        <v>3.599999999999993E-3</v>
      </c>
      <c r="J7">
        <f>POWER((F7-X$3), 2)</f>
        <v>0</v>
      </c>
      <c r="U7">
        <f>SUM(U2:U6)/5</f>
        <v>0.78400000000000003</v>
      </c>
      <c r="X7">
        <f>SUM(X2:X6)/5</f>
        <v>2.7519999999999998</v>
      </c>
      <c r="AK7" t="s">
        <v>43</v>
      </c>
      <c r="AL7">
        <f>AL6/AL2*100</f>
        <v>7.4732450201352858</v>
      </c>
    </row>
    <row r="8" spans="1:41" x14ac:dyDescent="0.2">
      <c r="A8" s="7"/>
      <c r="B8" s="7"/>
      <c r="C8" s="7"/>
      <c r="D8" s="1">
        <v>2</v>
      </c>
      <c r="E8" s="1">
        <v>0.8</v>
      </c>
      <c r="F8" s="1">
        <v>3</v>
      </c>
      <c r="I8">
        <f>POWER((E8-U$3), 2)</f>
        <v>1.6000000000000029E-3</v>
      </c>
      <c r="J8">
        <f>POWER((F8-X$3), 2)</f>
        <v>0</v>
      </c>
      <c r="AK8" t="s">
        <v>42</v>
      </c>
      <c r="AN8" t="s">
        <v>44</v>
      </c>
    </row>
    <row r="9" spans="1:41" x14ac:dyDescent="0.2">
      <c r="A9" s="7"/>
      <c r="B9" s="7"/>
      <c r="C9" s="7"/>
      <c r="D9" s="1">
        <v>3</v>
      </c>
      <c r="E9" s="1">
        <v>0.9</v>
      </c>
      <c r="F9" s="1">
        <v>3</v>
      </c>
      <c r="I9">
        <f>POWER((E9-U$3), 2)</f>
        <v>3.599999999999993E-3</v>
      </c>
      <c r="J9">
        <f>POWER((F9-X$3), 2)</f>
        <v>0</v>
      </c>
      <c r="AK9" t="s">
        <v>40</v>
      </c>
      <c r="AL9">
        <f>ABS(AL2-9.82)</f>
        <v>0.19469038994930088</v>
      </c>
      <c r="AN9">
        <f>0.06*AL2+AL3</f>
        <v>0.58514215600774966</v>
      </c>
    </row>
    <row r="10" spans="1:41" x14ac:dyDescent="0.2">
      <c r="A10" s="7"/>
      <c r="B10" s="7"/>
      <c r="C10" s="7"/>
      <c r="D10" s="1">
        <v>4</v>
      </c>
      <c r="E10" s="1">
        <v>0.8</v>
      </c>
      <c r="F10" s="1">
        <v>3</v>
      </c>
      <c r="I10">
        <f>POWER((E10-U$3), 2)</f>
        <v>1.6000000000000029E-3</v>
      </c>
      <c r="J10">
        <f>POWER((F10-X$3), 2)</f>
        <v>0</v>
      </c>
      <c r="AK10" s="6" t="s">
        <v>43</v>
      </c>
      <c r="AL10">
        <f>AL9/9.82*100</f>
        <v>1.9825905290152837</v>
      </c>
      <c r="AN10">
        <f>0.07*AL2+AL3</f>
        <v>0.68528905990724276</v>
      </c>
    </row>
    <row r="11" spans="1:41" x14ac:dyDescent="0.2">
      <c r="A11" s="7"/>
      <c r="B11" s="7"/>
      <c r="C11" s="7"/>
      <c r="D11" s="1">
        <v>5</v>
      </c>
      <c r="E11" s="1">
        <v>0.8</v>
      </c>
      <c r="F11" s="1">
        <v>3</v>
      </c>
      <c r="I11">
        <f>POWER((E11-U$3), 2)</f>
        <v>1.6000000000000029E-3</v>
      </c>
      <c r="J11">
        <f>POWER((F11-X$3), 2)</f>
        <v>0</v>
      </c>
    </row>
    <row r="12" spans="1:41" x14ac:dyDescent="0.2">
      <c r="A12" s="7">
        <v>3</v>
      </c>
      <c r="B12" s="7">
        <v>0.21</v>
      </c>
      <c r="C12" s="7">
        <v>0.184</v>
      </c>
      <c r="D12" s="1">
        <v>1</v>
      </c>
      <c r="E12" s="1">
        <v>0.8</v>
      </c>
      <c r="F12" s="1">
        <v>2.4</v>
      </c>
      <c r="I12">
        <f>POWER((E12-U$4), 2)</f>
        <v>1.599999999999994E-3</v>
      </c>
      <c r="J12">
        <f>POWER((F12-X$4), 2)</f>
        <v>4.0000000000000072E-4</v>
      </c>
    </row>
    <row r="13" spans="1:41" x14ac:dyDescent="0.2">
      <c r="A13" s="7"/>
      <c r="B13" s="7"/>
      <c r="C13" s="7"/>
      <c r="D13" s="1">
        <v>2</v>
      </c>
      <c r="E13" s="1">
        <v>0.8</v>
      </c>
      <c r="F13" s="1">
        <v>2.4</v>
      </c>
      <c r="I13">
        <f>POWER((E13-U$4), 2)</f>
        <v>1.599999999999994E-3</v>
      </c>
      <c r="J13">
        <f>POWER((F13-X$4), 2)</f>
        <v>4.0000000000000072E-4</v>
      </c>
    </row>
    <row r="14" spans="1:41" x14ac:dyDescent="0.2">
      <c r="A14" s="7"/>
      <c r="B14" s="7"/>
      <c r="C14" s="7"/>
      <c r="D14" s="1">
        <v>3</v>
      </c>
      <c r="E14" s="1">
        <v>0.8</v>
      </c>
      <c r="F14" s="1">
        <v>2.4</v>
      </c>
      <c r="I14">
        <f>POWER((E14-U$4), 2)</f>
        <v>1.599999999999994E-3</v>
      </c>
      <c r="J14">
        <f>POWER((F14-X$4), 2)</f>
        <v>4.0000000000000072E-4</v>
      </c>
    </row>
    <row r="15" spans="1:41" x14ac:dyDescent="0.2">
      <c r="A15" s="7"/>
      <c r="B15" s="7"/>
      <c r="C15" s="7"/>
      <c r="D15" s="1">
        <v>4</v>
      </c>
      <c r="E15" s="1">
        <v>0.7</v>
      </c>
      <c r="F15" s="1">
        <v>2.5</v>
      </c>
      <c r="I15">
        <f>POWER((E15-U$4), 2)</f>
        <v>3.6000000000000199E-3</v>
      </c>
      <c r="J15">
        <f>POWER((F15-X$4), 2)</f>
        <v>6.4000000000000116E-3</v>
      </c>
    </row>
    <row r="16" spans="1:41" x14ac:dyDescent="0.2">
      <c r="A16" s="7"/>
      <c r="B16" s="7"/>
      <c r="C16" s="7"/>
      <c r="D16" s="1">
        <v>5</v>
      </c>
      <c r="E16" s="1">
        <v>0.7</v>
      </c>
      <c r="F16" s="1">
        <v>2.4</v>
      </c>
      <c r="I16">
        <f>POWER((E16-U$4), 2)</f>
        <v>3.6000000000000199E-3</v>
      </c>
      <c r="J16">
        <f>POWER((F16-X$4), 2)</f>
        <v>4.0000000000000072E-4</v>
      </c>
    </row>
    <row r="17" spans="1:10" x14ac:dyDescent="0.2">
      <c r="A17" s="7">
        <v>4</v>
      </c>
      <c r="B17" s="7">
        <v>0.219</v>
      </c>
      <c r="C17" s="7">
        <v>0.185</v>
      </c>
      <c r="D17" s="1">
        <v>1</v>
      </c>
      <c r="E17" s="1">
        <v>0.7</v>
      </c>
      <c r="F17" s="1">
        <v>2.2000000000000002</v>
      </c>
      <c r="I17">
        <f>POWER((E17-U$5), 2)</f>
        <v>6.3999999999999934E-3</v>
      </c>
      <c r="J17">
        <f>POWER((F17-X$5), 2)</f>
        <v>3.6000000000000064E-3</v>
      </c>
    </row>
    <row r="18" spans="1:10" x14ac:dyDescent="0.2">
      <c r="A18" s="7"/>
      <c r="B18" s="7"/>
      <c r="C18" s="7"/>
      <c r="D18" s="1">
        <v>2</v>
      </c>
      <c r="E18" s="1">
        <v>0.6</v>
      </c>
      <c r="F18" s="1">
        <v>2.1</v>
      </c>
      <c r="I18">
        <f>POWER((E18-U$5), 2)</f>
        <v>4.0000000000000072E-4</v>
      </c>
      <c r="J18">
        <f>POWER((F18-X$5), 2)</f>
        <v>1.6000000000000029E-3</v>
      </c>
    </row>
    <row r="19" spans="1:10" x14ac:dyDescent="0.2">
      <c r="A19" s="7"/>
      <c r="B19" s="7"/>
      <c r="C19" s="7"/>
      <c r="D19" s="1">
        <v>3</v>
      </c>
      <c r="E19" s="1">
        <v>0.6</v>
      </c>
      <c r="F19" s="1">
        <v>2.1</v>
      </c>
      <c r="I19">
        <f>POWER((E19-U$5), 2)</f>
        <v>4.0000000000000072E-4</v>
      </c>
      <c r="J19">
        <f>POWER((F19-X$5), 2)</f>
        <v>1.6000000000000029E-3</v>
      </c>
    </row>
    <row r="20" spans="1:10" x14ac:dyDescent="0.2">
      <c r="A20" s="7"/>
      <c r="B20" s="7"/>
      <c r="C20" s="7"/>
      <c r="D20" s="1">
        <v>4</v>
      </c>
      <c r="E20" s="1">
        <v>0.6</v>
      </c>
      <c r="F20" s="1">
        <v>2.2000000000000002</v>
      </c>
      <c r="I20">
        <f>POWER((E20-U$5), 2)</f>
        <v>4.0000000000000072E-4</v>
      </c>
      <c r="J20">
        <f>POWER((F20-X$5), 2)</f>
        <v>3.6000000000000064E-3</v>
      </c>
    </row>
    <row r="21" spans="1:10" x14ac:dyDescent="0.2">
      <c r="A21" s="7"/>
      <c r="B21" s="7"/>
      <c r="C21" s="7"/>
      <c r="D21" s="1">
        <v>5</v>
      </c>
      <c r="E21" s="1">
        <v>0.6</v>
      </c>
      <c r="F21" s="1">
        <v>2.1</v>
      </c>
      <c r="I21">
        <f>POWER((E21-U$5), 2)</f>
        <v>4.0000000000000072E-4</v>
      </c>
      <c r="J21">
        <f>POWER((F21-X$5), 2)</f>
        <v>1.6000000000000029E-3</v>
      </c>
    </row>
    <row r="22" spans="1:10" x14ac:dyDescent="0.2">
      <c r="A22" s="7">
        <v>5</v>
      </c>
      <c r="B22" s="7">
        <v>0.23</v>
      </c>
      <c r="C22" s="7">
        <v>0.186</v>
      </c>
      <c r="D22" s="1">
        <v>1</v>
      </c>
      <c r="E22" s="1">
        <v>0.5</v>
      </c>
      <c r="F22" s="1">
        <v>1.9</v>
      </c>
      <c r="I22">
        <f>POWER((E22-U$6), 2)</f>
        <v>0</v>
      </c>
      <c r="J22">
        <f>POWER((F22-X$6), 2)</f>
        <v>0</v>
      </c>
    </row>
    <row r="23" spans="1:10" x14ac:dyDescent="0.2">
      <c r="A23" s="7"/>
      <c r="B23" s="7"/>
      <c r="C23" s="7"/>
      <c r="D23" s="1">
        <v>2</v>
      </c>
      <c r="E23" s="1">
        <v>0.5</v>
      </c>
      <c r="F23" s="1">
        <v>1.9</v>
      </c>
      <c r="I23">
        <f>POWER((E23-U$6), 2)</f>
        <v>0</v>
      </c>
      <c r="J23">
        <f>POWER((F23-X$6), 2)</f>
        <v>0</v>
      </c>
    </row>
    <row r="24" spans="1:10" x14ac:dyDescent="0.2">
      <c r="A24" s="7"/>
      <c r="B24" s="7"/>
      <c r="C24" s="7"/>
      <c r="D24" s="1">
        <v>3</v>
      </c>
      <c r="E24" s="1">
        <v>0.5</v>
      </c>
      <c r="F24" s="1">
        <v>1.9</v>
      </c>
      <c r="I24">
        <f>POWER((E24-U$6), 2)</f>
        <v>0</v>
      </c>
      <c r="J24">
        <f>POWER((F24-X$6), 2)</f>
        <v>0</v>
      </c>
    </row>
    <row r="25" spans="1:10" x14ac:dyDescent="0.2">
      <c r="A25" s="7"/>
      <c r="B25" s="7"/>
      <c r="C25" s="7"/>
      <c r="D25" s="1">
        <v>4</v>
      </c>
      <c r="E25" s="1">
        <v>0.5</v>
      </c>
      <c r="F25" s="1">
        <v>1.9</v>
      </c>
      <c r="I25">
        <f>POWER((E25-U$6), 2)</f>
        <v>0</v>
      </c>
      <c r="J25">
        <f>POWER((F25-X$6), 2)</f>
        <v>0</v>
      </c>
    </row>
    <row r="26" spans="1:10" x14ac:dyDescent="0.2">
      <c r="A26" s="7"/>
      <c r="B26" s="7"/>
      <c r="C26" s="7"/>
      <c r="D26" s="1">
        <v>5</v>
      </c>
      <c r="E26" s="1">
        <v>0.5</v>
      </c>
      <c r="F26" s="1">
        <v>1.9</v>
      </c>
      <c r="I26">
        <f>POWER((E26-U$6), 2)</f>
        <v>0</v>
      </c>
      <c r="J26">
        <f>POWER((F26-X$6), 2)</f>
        <v>0</v>
      </c>
    </row>
    <row r="27" spans="1:10" x14ac:dyDescent="0.2">
      <c r="C27" s="5"/>
    </row>
    <row r="28" spans="1:10" x14ac:dyDescent="0.2">
      <c r="C28" s="5"/>
    </row>
    <row r="29" spans="1:10" x14ac:dyDescent="0.2">
      <c r="C29" s="5"/>
    </row>
    <row r="30" spans="1:10" x14ac:dyDescent="0.2">
      <c r="C30" s="5"/>
    </row>
    <row r="31" spans="1:10" x14ac:dyDescent="0.2">
      <c r="C31" s="5"/>
    </row>
    <row r="32" spans="1:10" x14ac:dyDescent="0.2">
      <c r="C32" s="5"/>
    </row>
    <row r="33" spans="3:3" x14ac:dyDescent="0.2">
      <c r="C33" s="5"/>
    </row>
    <row r="34" spans="3:3" x14ac:dyDescent="0.2">
      <c r="C34" s="5"/>
    </row>
    <row r="35" spans="3:3" x14ac:dyDescent="0.2">
      <c r="C35" s="5"/>
    </row>
    <row r="36" spans="3:3" x14ac:dyDescent="0.2">
      <c r="C36" s="5"/>
    </row>
    <row r="37" spans="3:3" x14ac:dyDescent="0.2">
      <c r="C37" s="5"/>
    </row>
    <row r="38" spans="3:3" x14ac:dyDescent="0.2">
      <c r="C38" s="5"/>
    </row>
    <row r="39" spans="3:3" x14ac:dyDescent="0.2">
      <c r="C39" s="5"/>
    </row>
    <row r="40" spans="3:3" x14ac:dyDescent="0.2">
      <c r="C40" s="5"/>
    </row>
    <row r="41" spans="3:3" x14ac:dyDescent="0.2">
      <c r="C41" s="5"/>
    </row>
    <row r="42" spans="3:3" x14ac:dyDescent="0.2">
      <c r="C42" s="5"/>
    </row>
    <row r="43" spans="3:3" x14ac:dyDescent="0.2">
      <c r="C43" s="5"/>
    </row>
    <row r="44" spans="3:3" x14ac:dyDescent="0.2">
      <c r="C44" s="5"/>
    </row>
    <row r="45" spans="3:3" x14ac:dyDescent="0.2">
      <c r="C45" s="5"/>
    </row>
    <row r="46" spans="3:3" x14ac:dyDescent="0.2">
      <c r="C46" s="5"/>
    </row>
    <row r="47" spans="3:3" x14ac:dyDescent="0.2">
      <c r="C47" s="5"/>
    </row>
    <row r="48" spans="3:3" x14ac:dyDescent="0.2">
      <c r="C48" s="5"/>
    </row>
    <row r="49" spans="3:3" x14ac:dyDescent="0.2">
      <c r="C49" s="5"/>
    </row>
    <row r="50" spans="3:3" x14ac:dyDescent="0.2">
      <c r="C50" s="5"/>
    </row>
    <row r="51" spans="3:3" x14ac:dyDescent="0.2">
      <c r="C51" s="5"/>
    </row>
    <row r="52" spans="3:3" x14ac:dyDescent="0.2">
      <c r="C52" s="5"/>
    </row>
    <row r="53" spans="3:3" x14ac:dyDescent="0.2">
      <c r="C53" s="5"/>
    </row>
    <row r="54" spans="3:3" x14ac:dyDescent="0.2">
      <c r="C54" s="5"/>
    </row>
    <row r="55" spans="3:3" x14ac:dyDescent="0.2">
      <c r="C55" s="5"/>
    </row>
    <row r="56" spans="3:3" x14ac:dyDescent="0.2">
      <c r="C56" s="5"/>
    </row>
  </sheetData>
  <mergeCells count="15">
    <mergeCell ref="C22:C26"/>
    <mergeCell ref="B2:B6"/>
    <mergeCell ref="C2:C6"/>
    <mergeCell ref="B7:B11"/>
    <mergeCell ref="B12:B16"/>
    <mergeCell ref="B17:B21"/>
    <mergeCell ref="B22:B26"/>
    <mergeCell ref="C7:C11"/>
    <mergeCell ref="C12:C16"/>
    <mergeCell ref="C17:C21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2026-10-06T09:59:37Z</dcterms:created>
  <dcterms:modified xsi:type="dcterms:W3CDTF">2026-10-06T21:16:48Z</dcterms:modified>
</cp:coreProperties>
</file>