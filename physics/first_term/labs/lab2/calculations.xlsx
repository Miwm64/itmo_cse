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mo_cse/physics/first_term/labs/lab2/"/>
    </mc:Choice>
  </mc:AlternateContent>
  <xr:revisionPtr revIDLastSave="0" documentId="13_ncr:1_{E4CAD7FE-9C49-3241-AAEA-8739D7E70C66}" xr6:coauthVersionLast="47" xr6:coauthVersionMax="47" xr10:uidLastSave="{00000000-0000-0000-0000-000000000000}"/>
  <bookViews>
    <workbookView xWindow="0" yWindow="740" windowWidth="29400" windowHeight="18380" xr2:uid="{5C85809A-1FFE-D64B-9DD2-0FF3932A7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1" i="1"/>
  <c r="R7" i="1"/>
  <c r="R3" i="1"/>
  <c r="O14" i="1"/>
  <c r="P14" i="1" s="1"/>
  <c r="Q14" i="1" s="1"/>
  <c r="R14" i="1" s="1"/>
  <c r="N14" i="1"/>
  <c r="M14" i="1"/>
  <c r="P10" i="1"/>
  <c r="Q10" i="1" s="1"/>
  <c r="R10" i="1" s="1"/>
  <c r="O10" i="1"/>
  <c r="N10" i="1"/>
  <c r="M10" i="1"/>
  <c r="O6" i="1"/>
  <c r="N6" i="1"/>
  <c r="P6" i="1" s="1"/>
  <c r="Q6" i="1" s="1"/>
  <c r="R6" i="1" s="1"/>
  <c r="M6" i="1"/>
  <c r="Q3" i="1"/>
  <c r="N3" i="1"/>
  <c r="O3" i="1"/>
  <c r="P3" i="1" s="1"/>
  <c r="M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N2" i="1" s="1"/>
  <c r="L1" i="1"/>
  <c r="M15" i="1" l="1"/>
  <c r="S14" i="1"/>
  <c r="M11" i="1"/>
  <c r="S10" i="1"/>
  <c r="S6" i="1"/>
  <c r="M7" i="1"/>
  <c r="M2" i="1"/>
  <c r="O2" i="1"/>
  <c r="O15" i="1" l="1"/>
  <c r="P15" i="1" s="1"/>
  <c r="N15" i="1"/>
  <c r="Q15" i="1" s="1"/>
  <c r="O11" i="1"/>
  <c r="P11" i="1" s="1"/>
  <c r="N11" i="1"/>
  <c r="Q11" i="1" s="1"/>
  <c r="O7" i="1"/>
  <c r="P7" i="1" s="1"/>
  <c r="N7" i="1"/>
  <c r="Q7" i="1" s="1"/>
  <c r="P2" i="1"/>
  <c r="Q2" i="1" s="1"/>
  <c r="R2" i="1" s="1"/>
  <c r="S2" i="1" s="1"/>
</calcChain>
</file>

<file path=xl/sharedStrings.xml><?xml version="1.0" encoding="utf-8"?>
<sst xmlns="http://schemas.openxmlformats.org/spreadsheetml/2006/main" count="16" uniqueCount="16">
  <si>
    <t>Положение груза на спице, риска</t>
  </si>
  <si>
    <t>Кол-во шайб на карте</t>
  </si>
  <si>
    <t>t1</t>
  </si>
  <si>
    <t>t2</t>
  </si>
  <si>
    <t>t3</t>
  </si>
  <si>
    <t>a</t>
  </si>
  <si>
    <t>e</t>
  </si>
  <si>
    <t>1/c^2</t>
  </si>
  <si>
    <t>M</t>
  </si>
  <si>
    <t>м/c^2</t>
  </si>
  <si>
    <t>абс e</t>
  </si>
  <si>
    <t>абс а</t>
  </si>
  <si>
    <t>отн а</t>
  </si>
  <si>
    <t>отн е</t>
  </si>
  <si>
    <t>отн M</t>
  </si>
  <si>
    <t>абс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</si>
</sst>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00"/>
  </numFmts>
  <fonts count="3" x14ac:knownFonts="1">
    <font>
      <sz val="12"/>
      <color theme="1"/>
      <name val="Aptos Narrow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167" fontId="0" fillId="0" borderId="0" xfId="0" applyNumberFormat="1"/>
    <xf numFmtId="2" fontId="0" fillId="0" borderId="0" xfId="0" quotePrefix="1" applyNumberFormat="1"/>
    <xf numFmtId="167" fontId="1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4E43-2E75-1B44-B789-DD2E4921BA47}">
  <dimension ref="A1:AR18"/>
  <sheetViews>
    <sheetView tabSelected="1" topLeftCell="M3" zoomScale="150" workbookViewId="0">
      <selection activeCell="R15" sqref="R15"/>
    </sheetView>
  </sheetViews>
  <sheetFormatPr baseColWidth="10" defaultRowHeight="16" x14ac:dyDescent="0.2"/>
  <cols>
    <col min="1" max="2" width="10.83203125" style="4"/>
    <col min="3" max="5" width="11.33203125" style="4" bestFit="1" customWidth="1"/>
    <col min="6" max="8" width="11.33203125" style="4" customWidth="1"/>
    <col min="9" max="11" width="18" style="5" customWidth="1"/>
    <col min="12" max="12" width="45.6640625" style="5" customWidth="1"/>
    <col min="13" max="13" width="30.5" style="5" customWidth="1"/>
    <col min="14" max="14" width="19.83203125" style="5" customWidth="1"/>
    <col min="15" max="16" width="13.5" style="5" bestFit="1" customWidth="1"/>
    <col min="17" max="17" width="13.1640625" style="5" bestFit="1" customWidth="1"/>
    <col min="18" max="19" width="12.83203125" style="5" bestFit="1" customWidth="1"/>
    <col min="20" max="44" width="10.83203125" style="5"/>
    <col min="45" max="16384" width="10.83203125" style="4"/>
  </cols>
  <sheetData>
    <row r="1" spans="1:19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7" t="s">
        <v>8</v>
      </c>
      <c r="J1" s="7"/>
      <c r="K1" s="7"/>
      <c r="L1" s="5">
        <f>SUM(C2:E17)/COUNT(C2:E17)</f>
        <v>4.1433333333333335</v>
      </c>
    </row>
    <row r="2" spans="1:19" ht="19" x14ac:dyDescent="0.2">
      <c r="A2" s="2">
        <v>1</v>
      </c>
      <c r="B2" s="2">
        <v>1</v>
      </c>
      <c r="C2" s="2">
        <v>4.5199999999999996</v>
      </c>
      <c r="D2" s="2">
        <v>4.76</v>
      </c>
      <c r="E2" s="2">
        <v>4.49</v>
      </c>
      <c r="F2" s="2"/>
      <c r="G2" s="3">
        <f>2*700/(L2^2)/1000</f>
        <v>6.6451174999169374E-2</v>
      </c>
      <c r="H2" s="3">
        <f>2*G2/46*1000</f>
        <v>2.8891815217030161</v>
      </c>
      <c r="I2" s="3">
        <f>(47 + 220 * B2)/1000*(46/2)/1000*(9.82-G2)</f>
        <v>5.9896543334330102E-2</v>
      </c>
      <c r="J2" s="8"/>
      <c r="K2" s="8"/>
      <c r="L2" s="5">
        <f>SUM(C2:E2)/3</f>
        <v>4.59</v>
      </c>
      <c r="M2" s="5">
        <f>($L$2-C2)^2</f>
        <v>4.9000000000000397E-3</v>
      </c>
      <c r="N2" s="5">
        <f t="shared" ref="N2:O2" si="0">($L$2-D2)^2</f>
        <v>2.8899999999999974E-2</v>
      </c>
      <c r="O2" s="5">
        <f t="shared" si="0"/>
        <v>9.9999999999999291E-3</v>
      </c>
      <c r="P2" s="5">
        <f>SQRT(SUM(M2:O2)/6)</f>
        <v>8.5440037453175258E-2</v>
      </c>
      <c r="Q2" s="5">
        <f>P2*4.3</f>
        <v>0.36739216104865358</v>
      </c>
      <c r="R2" s="5">
        <f>SQRT(Q2*Q2+(2/3*0.01)^2)</f>
        <v>0.36745264245130183</v>
      </c>
      <c r="S2" s="5">
        <f>R2/L2</f>
        <v>8.0055041928388193E-2</v>
      </c>
    </row>
    <row r="3" spans="1:19" ht="19" x14ac:dyDescent="0.2">
      <c r="A3" s="2">
        <v>1</v>
      </c>
      <c r="B3" s="2">
        <v>2</v>
      </c>
      <c r="C3" s="2">
        <v>3.41</v>
      </c>
      <c r="D3" s="2">
        <v>3.3</v>
      </c>
      <c r="E3" s="2">
        <v>3.41</v>
      </c>
      <c r="F3" s="2"/>
      <c r="G3" s="3">
        <f t="shared" ref="G3:G17" si="1">2*700/(L3^2)/1000</f>
        <v>0.12302957396616099</v>
      </c>
      <c r="H3" s="3">
        <f t="shared" ref="H3:H17" si="2">2*G3/46*1000</f>
        <v>5.3491119115722174</v>
      </c>
      <c r="I3" s="3">
        <f t="shared" ref="I3:I17" si="3">(47 + 220 * B3)/1000*(46/2)/1000*(9.82-G3)</f>
        <v>0.10861576574200504</v>
      </c>
      <c r="J3" s="8"/>
      <c r="K3" s="8"/>
      <c r="L3" s="5">
        <f t="shared" ref="L3:L17" si="4">SUM(C3:E3)/3</f>
        <v>3.3733333333333335</v>
      </c>
      <c r="M3" s="5">
        <f>SQRT((0.001/0.7)^2 + (2*R2/L2)^2)</f>
        <v>0.16011645689606829</v>
      </c>
      <c r="N3" s="5">
        <f>G2*M3</f>
        <v>1.0639926697447594E-2</v>
      </c>
      <c r="O3" s="5">
        <f>SQRT((M3)^2 + (0.0005 / 0.046)^2)</f>
        <v>0.16048497505051873</v>
      </c>
      <c r="P3" s="5">
        <f>H2*O3</f>
        <v>0.46367022442692829</v>
      </c>
      <c r="Q3" s="5">
        <f>SQRT((0.0005/0.267)^2 + (0.0005 / 0.046)^2 + (0 + N3^2) / (9.82 - G2)^2)</f>
        <v>1.1083515420043348E-2</v>
      </c>
      <c r="R3" s="5">
        <f>I2*Q3</f>
        <v>6.6386426165334223E-4</v>
      </c>
    </row>
    <row r="4" spans="1:19" ht="19" x14ac:dyDescent="0.2">
      <c r="A4" s="2">
        <v>1</v>
      </c>
      <c r="B4" s="2">
        <v>3</v>
      </c>
      <c r="C4" s="2">
        <v>2.73</v>
      </c>
      <c r="D4" s="2">
        <v>2.99</v>
      </c>
      <c r="E4" s="2">
        <v>2.9</v>
      </c>
      <c r="F4" s="2"/>
      <c r="G4" s="3">
        <f t="shared" si="1"/>
        <v>0.16957273055162278</v>
      </c>
      <c r="H4" s="3">
        <f t="shared" si="2"/>
        <v>7.3727274152879474</v>
      </c>
      <c r="I4" s="3">
        <f t="shared" si="3"/>
        <v>0.15692559782850005</v>
      </c>
      <c r="J4" s="8"/>
      <c r="K4" s="8"/>
      <c r="L4" s="5">
        <f t="shared" si="4"/>
        <v>2.8733333333333335</v>
      </c>
      <c r="M4" s="5" t="s">
        <v>12</v>
      </c>
      <c r="N4" s="5" t="s">
        <v>11</v>
      </c>
      <c r="O4" s="5" t="s">
        <v>13</v>
      </c>
      <c r="P4" s="5" t="s">
        <v>10</v>
      </c>
      <c r="Q4" s="5" t="s">
        <v>14</v>
      </c>
      <c r="R4" s="5" t="s">
        <v>15</v>
      </c>
    </row>
    <row r="5" spans="1:19" ht="19" x14ac:dyDescent="0.2">
      <c r="A5" s="2">
        <v>1</v>
      </c>
      <c r="B5" s="2">
        <v>4</v>
      </c>
      <c r="C5" s="2">
        <v>2.37</v>
      </c>
      <c r="D5" s="2">
        <v>2.35</v>
      </c>
      <c r="E5" s="2">
        <v>2.2200000000000002</v>
      </c>
      <c r="F5" s="2"/>
      <c r="G5" s="3">
        <f t="shared" si="1"/>
        <v>0.26160835153518414</v>
      </c>
      <c r="H5" s="3">
        <f t="shared" si="2"/>
        <v>11.374276153703658</v>
      </c>
      <c r="I5" s="3">
        <f t="shared" si="3"/>
        <v>0.20379446833691839</v>
      </c>
      <c r="J5" s="8"/>
      <c r="K5" s="8"/>
      <c r="L5" s="5">
        <f t="shared" si="4"/>
        <v>2.3133333333333339</v>
      </c>
    </row>
    <row r="6" spans="1:19" ht="19" x14ac:dyDescent="0.2">
      <c r="A6" s="2">
        <v>2</v>
      </c>
      <c r="B6" s="2">
        <v>1</v>
      </c>
      <c r="C6" s="2">
        <v>5.37</v>
      </c>
      <c r="D6" s="2">
        <v>5.21</v>
      </c>
      <c r="E6" s="2">
        <v>5.51</v>
      </c>
      <c r="F6" s="2"/>
      <c r="G6" s="3">
        <f t="shared" si="1"/>
        <v>4.8669676203734358E-2</v>
      </c>
      <c r="H6" s="3">
        <f t="shared" si="2"/>
        <v>2.1160728784232332</v>
      </c>
      <c r="I6" s="3">
        <f t="shared" si="3"/>
        <v>6.0005739518432862E-2</v>
      </c>
      <c r="J6" s="8"/>
      <c r="K6" s="8"/>
      <c r="L6" s="5">
        <f t="shared" si="4"/>
        <v>5.3633333333333333</v>
      </c>
      <c r="M6" s="5">
        <f>(L6-C6)^2</f>
        <v>4.44444444444465E-5</v>
      </c>
      <c r="N6" s="5">
        <f>(L6-D6)^2</f>
        <v>2.3511111111111108E-2</v>
      </c>
      <c r="O6" s="5">
        <f>(L6-E6)^2</f>
        <v>2.1511111111111061E-2</v>
      </c>
      <c r="P6" s="5">
        <f>SQRT(SUM(M6:O6)/6)</f>
        <v>8.6666666666666614E-2</v>
      </c>
      <c r="Q6" s="5">
        <f>P6*4.3</f>
        <v>0.37266666666666642</v>
      </c>
      <c r="R6" s="5">
        <f>SQRT(Q6*Q6+(2/3*0.01)^2)</f>
        <v>0.37272629218890463</v>
      </c>
      <c r="S6" s="5">
        <f>R6/L6</f>
        <v>6.9495268897869111E-2</v>
      </c>
    </row>
    <row r="7" spans="1:19" ht="19" x14ac:dyDescent="0.2">
      <c r="A7" s="2">
        <v>2</v>
      </c>
      <c r="B7" s="2">
        <v>2</v>
      </c>
      <c r="C7" s="2">
        <v>3.98</v>
      </c>
      <c r="D7" s="2">
        <v>3.81</v>
      </c>
      <c r="E7" s="2">
        <v>3.83</v>
      </c>
      <c r="F7" s="2"/>
      <c r="G7" s="3">
        <f t="shared" si="1"/>
        <v>9.3316467245919979E-2</v>
      </c>
      <c r="H7" s="3">
        <f t="shared" si="2"/>
        <v>4.0572377063443463</v>
      </c>
      <c r="I7" s="3">
        <f t="shared" si="3"/>
        <v>0.10894858225037846</v>
      </c>
      <c r="J7" s="8"/>
      <c r="K7" s="8"/>
      <c r="L7" s="5">
        <f t="shared" si="4"/>
        <v>3.8733333333333335</v>
      </c>
      <c r="M7" s="5">
        <f>SQRT((0.001/0.7)^2 + (2*R6/L6)^2)</f>
        <v>0.13899787916754364</v>
      </c>
      <c r="N7" s="5">
        <f>G6*M7</f>
        <v>6.7649817720901425E-3</v>
      </c>
      <c r="O7" s="5">
        <f>SQRT((M7)^2 + (0.0005 / 0.046)^2)</f>
        <v>0.13942222871941973</v>
      </c>
      <c r="P7" s="5">
        <f>H6*O7</f>
        <v>0.29502759684248486</v>
      </c>
      <c r="Q7" s="5">
        <f>SQRT((0.0005/0.267)^2 + (0.0005 / 0.046)^2 + (0 + N7^2) / (9.82 - G6)^2)</f>
        <v>1.1051408089412696E-2</v>
      </c>
      <c r="R7" s="5">
        <f>I6*Q7</f>
        <v>6.6314791512520001E-4</v>
      </c>
    </row>
    <row r="8" spans="1:19" ht="19" x14ac:dyDescent="0.2">
      <c r="A8" s="2">
        <v>2</v>
      </c>
      <c r="B8" s="2">
        <v>3</v>
      </c>
      <c r="C8" s="2">
        <v>3.14</v>
      </c>
      <c r="D8" s="2">
        <v>3.21</v>
      </c>
      <c r="E8" s="2">
        <v>3.37</v>
      </c>
      <c r="F8" s="2"/>
      <c r="G8" s="3">
        <f t="shared" si="1"/>
        <v>0.13336381649138851</v>
      </c>
      <c r="H8" s="3">
        <f t="shared" si="2"/>
        <v>5.7984268039734133</v>
      </c>
      <c r="I8" s="3">
        <f t="shared" si="3"/>
        <v>0.1575143909800335</v>
      </c>
      <c r="J8" s="8"/>
      <c r="K8" s="8"/>
      <c r="L8" s="5">
        <f t="shared" si="4"/>
        <v>3.2399999999999998</v>
      </c>
    </row>
    <row r="9" spans="1:19" ht="19" x14ac:dyDescent="0.2">
      <c r="A9" s="2">
        <v>2</v>
      </c>
      <c r="B9" s="2">
        <v>4</v>
      </c>
      <c r="C9" s="2">
        <v>2.86</v>
      </c>
      <c r="D9" s="2">
        <v>2.78</v>
      </c>
      <c r="E9" s="2">
        <v>2.6</v>
      </c>
      <c r="F9" s="2"/>
      <c r="G9" s="3">
        <f t="shared" si="1"/>
        <v>0.18557356961070789</v>
      </c>
      <c r="H9" s="3">
        <f t="shared" si="2"/>
        <v>8.0684160700307785</v>
      </c>
      <c r="I9" s="3">
        <f t="shared" si="3"/>
        <v>0.20541560592233013</v>
      </c>
      <c r="J9" s="8"/>
      <c r="K9" s="8"/>
      <c r="L9" s="5">
        <f t="shared" si="4"/>
        <v>2.7466666666666666</v>
      </c>
    </row>
    <row r="10" spans="1:19" ht="19" x14ac:dyDescent="0.2">
      <c r="A10" s="2">
        <v>3</v>
      </c>
      <c r="B10" s="2">
        <v>1</v>
      </c>
      <c r="C10" s="2">
        <v>6.04</v>
      </c>
      <c r="D10" s="2">
        <v>6.02</v>
      </c>
      <c r="E10" s="2">
        <v>6.36</v>
      </c>
      <c r="F10" s="2"/>
      <c r="G10" s="3">
        <f t="shared" si="1"/>
        <v>3.713567252702947E-2</v>
      </c>
      <c r="H10" s="3">
        <f t="shared" si="2"/>
        <v>1.6145944576969335</v>
      </c>
      <c r="I10" s="3">
        <f t="shared" si="3"/>
        <v>6.0076569835011515E-2</v>
      </c>
      <c r="J10" s="8"/>
      <c r="K10" s="8"/>
      <c r="L10" s="5">
        <f t="shared" si="4"/>
        <v>6.14</v>
      </c>
      <c r="M10" s="5">
        <f>(L10-C10)^2</f>
        <v>9.9999999999999291E-3</v>
      </c>
      <c r="N10" s="5">
        <f>(L10-D10)^2</f>
        <v>1.4400000000000026E-2</v>
      </c>
      <c r="O10" s="5">
        <f>(L10-E10)^2</f>
        <v>4.8400000000000283E-2</v>
      </c>
      <c r="P10" s="5">
        <f>SQRT(SUM(M10:O10)/6)</f>
        <v>0.11015141094572221</v>
      </c>
      <c r="Q10" s="5">
        <f>P10*4.3</f>
        <v>0.47365106706660548</v>
      </c>
      <c r="R10" s="5">
        <f>SQRT(Q10*Q10+(2/3*0.01)^2)</f>
        <v>0.47369798160619014</v>
      </c>
      <c r="S10" s="5">
        <f>R10/L10</f>
        <v>7.7149508404916967E-2</v>
      </c>
    </row>
    <row r="11" spans="1:19" ht="19" x14ac:dyDescent="0.2">
      <c r="A11" s="2">
        <v>3</v>
      </c>
      <c r="B11" s="2">
        <v>2</v>
      </c>
      <c r="C11" s="2">
        <v>4.53</v>
      </c>
      <c r="D11" s="2">
        <v>4.3099999999999996</v>
      </c>
      <c r="E11" s="2">
        <v>4.3499999999999996</v>
      </c>
      <c r="F11" s="2"/>
      <c r="G11" s="3">
        <f t="shared" si="1"/>
        <v>7.2423740962120661E-2</v>
      </c>
      <c r="H11" s="3">
        <f t="shared" si="2"/>
        <v>3.1488583027008983</v>
      </c>
      <c r="I11" s="3">
        <f t="shared" si="3"/>
        <v>0.1091826016774833</v>
      </c>
      <c r="J11" s="8"/>
      <c r="K11" s="8"/>
      <c r="L11" s="5">
        <f t="shared" si="4"/>
        <v>4.3966666666666665</v>
      </c>
      <c r="M11" s="5">
        <f>SQRT((0.001/0.7)^2 + (2*R10/L10)^2)</f>
        <v>0.1543056298545453</v>
      </c>
      <c r="N11" s="5">
        <f>G10*M11</f>
        <v>5.7302433393554165E-3</v>
      </c>
      <c r="O11" s="5">
        <f>SQRT((M11)^2 + (0.0005 / 0.046)^2)</f>
        <v>0.15468799194773675</v>
      </c>
      <c r="P11" s="5">
        <f>H10*O11</f>
        <v>0.24975837447108365</v>
      </c>
      <c r="Q11" s="5">
        <f>SQRT((0.0005/0.267)^2 + (0.0005 / 0.046)^2 + (0 + N11^2) / (9.82 - G10)^2)</f>
        <v>1.104524310061725E-2</v>
      </c>
      <c r="R11" s="5">
        <f>I10*Q11</f>
        <v>6.6356031847891132E-4</v>
      </c>
    </row>
    <row r="12" spans="1:19" ht="19" x14ac:dyDescent="0.2">
      <c r="A12" s="2">
        <v>3</v>
      </c>
      <c r="B12" s="2">
        <v>3</v>
      </c>
      <c r="C12" s="2">
        <v>3.76</v>
      </c>
      <c r="D12" s="2">
        <v>4.01</v>
      </c>
      <c r="E12" s="2">
        <v>3.81</v>
      </c>
      <c r="F12" s="2"/>
      <c r="G12" s="3">
        <f t="shared" si="1"/>
        <v>9.396225402024215E-2</v>
      </c>
      <c r="H12" s="3">
        <f t="shared" si="2"/>
        <v>4.085315392184441</v>
      </c>
      <c r="I12" s="3">
        <f t="shared" si="3"/>
        <v>0.15815509978737682</v>
      </c>
      <c r="J12" s="8"/>
      <c r="K12" s="8"/>
      <c r="L12" s="5">
        <f t="shared" si="4"/>
        <v>3.86</v>
      </c>
    </row>
    <row r="13" spans="1:19" ht="19" x14ac:dyDescent="0.2">
      <c r="A13" s="2">
        <v>3</v>
      </c>
      <c r="B13" s="2">
        <v>4</v>
      </c>
      <c r="C13" s="2">
        <v>3.3</v>
      </c>
      <c r="D13" s="2">
        <v>3.31</v>
      </c>
      <c r="E13" s="2">
        <v>3.35</v>
      </c>
      <c r="F13" s="2"/>
      <c r="G13" s="3">
        <f t="shared" si="1"/>
        <v>0.12701408041805778</v>
      </c>
      <c r="H13" s="3">
        <f t="shared" si="2"/>
        <v>5.5223513225242513</v>
      </c>
      <c r="I13" s="3">
        <f t="shared" si="3"/>
        <v>0.20666415279140665</v>
      </c>
      <c r="J13" s="8"/>
      <c r="K13" s="8"/>
      <c r="L13" s="5">
        <f t="shared" si="4"/>
        <v>3.32</v>
      </c>
    </row>
    <row r="14" spans="1:19" ht="19" x14ac:dyDescent="0.2">
      <c r="A14" s="2">
        <v>4</v>
      </c>
      <c r="B14" s="2">
        <v>1</v>
      </c>
      <c r="C14" s="2">
        <v>7.31</v>
      </c>
      <c r="D14" s="2">
        <v>6.7</v>
      </c>
      <c r="E14" s="2">
        <v>6.81</v>
      </c>
      <c r="F14" s="2"/>
      <c r="G14" s="3">
        <f t="shared" si="1"/>
        <v>2.9067594615020471E-2</v>
      </c>
      <c r="H14" s="3">
        <f t="shared" si="2"/>
        <v>1.263808461522629</v>
      </c>
      <c r="I14" s="3">
        <f t="shared" si="3"/>
        <v>6.0126115901469164E-2</v>
      </c>
      <c r="J14" s="8"/>
      <c r="K14" s="8"/>
      <c r="L14" s="5">
        <f t="shared" si="4"/>
        <v>6.94</v>
      </c>
      <c r="M14" s="5">
        <f>(L14-C14)^2</f>
        <v>0.13689999999999941</v>
      </c>
      <c r="N14" s="5">
        <f>(L14-D14)^2</f>
        <v>5.7600000000000103E-2</v>
      </c>
      <c r="O14" s="5">
        <f>(L14-E14)^2</f>
        <v>1.6900000000000203E-2</v>
      </c>
      <c r="P14" s="5">
        <f>SQRT(SUM(M14:O14)/6)</f>
        <v>0.18770544300401437</v>
      </c>
      <c r="Q14" s="5">
        <f>P14*4.3</f>
        <v>0.80713340491726171</v>
      </c>
      <c r="R14" s="5">
        <f>SQRT(Q14*Q14+(2/3*0.01)^2)</f>
        <v>0.80716093672685663</v>
      </c>
      <c r="S14" s="5">
        <f>R14/L14</f>
        <v>0.11630561047937414</v>
      </c>
    </row>
    <row r="15" spans="1:19" ht="19" x14ac:dyDescent="0.2">
      <c r="A15" s="2">
        <v>4</v>
      </c>
      <c r="B15" s="2">
        <v>2</v>
      </c>
      <c r="C15" s="2">
        <v>5.14</v>
      </c>
      <c r="D15" s="2">
        <v>5.26</v>
      </c>
      <c r="E15" s="2">
        <v>5.1100000000000003</v>
      </c>
      <c r="F15" s="2"/>
      <c r="G15" s="3">
        <f t="shared" si="1"/>
        <v>5.2377763394677694E-2</v>
      </c>
      <c r="H15" s="3">
        <f t="shared" si="2"/>
        <v>2.2772940606381606</v>
      </c>
      <c r="I15" s="3">
        <f t="shared" si="3"/>
        <v>0.10940713667221623</v>
      </c>
      <c r="J15" s="8"/>
      <c r="K15" s="8"/>
      <c r="L15" s="5">
        <f t="shared" si="4"/>
        <v>5.169999999999999</v>
      </c>
      <c r="M15" s="5">
        <f>SQRT((0.001/0.7)^2 + (2*R14/L14)^2)</f>
        <v>0.23261560767120967</v>
      </c>
      <c r="N15" s="5">
        <f>G14*M15</f>
        <v>6.7615761849133685E-3</v>
      </c>
      <c r="O15" s="5">
        <f>SQRT((M15)^2 + (0.0005 / 0.046)^2)</f>
        <v>0.2328694234549939</v>
      </c>
      <c r="P15" s="5">
        <f>H14*O15</f>
        <v>0.29430234779231745</v>
      </c>
      <c r="Q15" s="5">
        <f>SQRT((0.0005/0.267)^2 + (0.0005 / 0.046)^2 + (0 + N15^2) / (9.82 - G14)^2)</f>
        <v>1.1051299601281714E-2</v>
      </c>
      <c r="R15" s="5">
        <f>I14*Q15</f>
        <v>6.6447172068852429E-4</v>
      </c>
    </row>
    <row r="16" spans="1:19" ht="19" x14ac:dyDescent="0.2">
      <c r="A16" s="2">
        <v>4</v>
      </c>
      <c r="B16" s="2">
        <v>3</v>
      </c>
      <c r="C16" s="2">
        <v>4.25</v>
      </c>
      <c r="D16" s="2">
        <v>4.58</v>
      </c>
      <c r="E16" s="2">
        <v>4.38</v>
      </c>
      <c r="F16" s="2"/>
      <c r="G16" s="3">
        <f t="shared" si="1"/>
        <v>7.2204607226993525E-2</v>
      </c>
      <c r="H16" s="3">
        <f t="shared" si="2"/>
        <v>3.1393307489997189</v>
      </c>
      <c r="I16" s="3">
        <f t="shared" si="3"/>
        <v>0.15850890088188185</v>
      </c>
      <c r="J16" s="8"/>
      <c r="K16" s="8"/>
      <c r="L16" s="5">
        <f t="shared" si="4"/>
        <v>4.4033333333333333</v>
      </c>
    </row>
    <row r="17" spans="1:12" ht="19" x14ac:dyDescent="0.2">
      <c r="A17" s="2">
        <v>4</v>
      </c>
      <c r="B17" s="2">
        <v>4</v>
      </c>
      <c r="C17" s="2">
        <v>3.66</v>
      </c>
      <c r="D17" s="2">
        <v>3.63</v>
      </c>
      <c r="E17" s="2">
        <v>3.78</v>
      </c>
      <c r="F17" s="2"/>
      <c r="G17" s="3">
        <f t="shared" si="1"/>
        <v>0.10281945637884563</v>
      </c>
      <c r="H17" s="3">
        <f t="shared" si="2"/>
        <v>4.470411146906331</v>
      </c>
      <c r="I17" s="3">
        <f t="shared" si="3"/>
        <v>0.20718000637054665</v>
      </c>
      <c r="J17" s="8"/>
      <c r="K17" s="8"/>
      <c r="L17" s="5">
        <f t="shared" si="4"/>
        <v>3.69</v>
      </c>
    </row>
    <row r="18" spans="1:12" x14ac:dyDescent="0.2">
      <c r="G18" s="6" t="s">
        <v>9</v>
      </c>
      <c r="H18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2026-09-05T12:34:25Z</dcterms:created>
  <dcterms:modified xsi:type="dcterms:W3CDTF">2026-09-12T18:10:21Z</dcterms:modified>
</cp:coreProperties>
</file>