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wm64/itmo/practice/itmo_cse/physics/first_term/labs/lab7/"/>
    </mc:Choice>
  </mc:AlternateContent>
  <xr:revisionPtr revIDLastSave="0" documentId="13_ncr:1_{47A3FFBE-46E5-534F-8D5A-6D6BAC417CF4}" xr6:coauthVersionLast="47" xr6:coauthVersionMax="47" xr10:uidLastSave="{00000000-0000-0000-0000-000000000000}"/>
  <bookViews>
    <workbookView xWindow="4440" yWindow="760" windowWidth="24960" windowHeight="16380" xr2:uid="{A5D60390-1F61-5F40-A854-9C08E8A465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R19" i="1" s="1"/>
  <c r="B20" i="1"/>
  <c r="B19" i="1"/>
  <c r="J19" i="1"/>
  <c r="D19" i="1" s="1"/>
  <c r="P19" i="1"/>
  <c r="L19" i="1"/>
  <c r="L18" i="1"/>
  <c r="P18" i="1"/>
  <c r="J18" i="1"/>
  <c r="H19" i="1"/>
  <c r="H18" i="1"/>
  <c r="H17" i="1"/>
  <c r="H16" i="1"/>
  <c r="M3" i="1"/>
  <c r="M4" i="1"/>
  <c r="M5" i="1"/>
  <c r="M6" i="1"/>
  <c r="N6" i="1" s="1"/>
  <c r="M2" i="1"/>
  <c r="N2" i="1" s="1"/>
  <c r="N5" i="1"/>
  <c r="N4" i="1"/>
  <c r="N3" i="1"/>
  <c r="K7" i="1"/>
  <c r="K3" i="1"/>
  <c r="K4" i="1"/>
  <c r="K5" i="1"/>
  <c r="K6" i="1"/>
  <c r="K2" i="1"/>
  <c r="J3" i="1"/>
  <c r="J4" i="1"/>
  <c r="J5" i="1"/>
  <c r="J6" i="1"/>
  <c r="J2" i="1"/>
  <c r="F19" i="1"/>
  <c r="F18" i="1"/>
  <c r="F17" i="1"/>
  <c r="F16" i="1"/>
  <c r="G3" i="1"/>
  <c r="G4" i="1"/>
  <c r="G5" i="1"/>
  <c r="H5" i="1" s="1"/>
  <c r="G6" i="1"/>
  <c r="G2" i="1"/>
  <c r="H3" i="1"/>
  <c r="H4" i="1"/>
  <c r="H7" i="1" s="1"/>
  <c r="H6" i="1"/>
  <c r="H2" i="1"/>
  <c r="F13" i="1"/>
  <c r="F12" i="1"/>
  <c r="E7" i="1"/>
  <c r="F11" i="1"/>
  <c r="D13" i="1"/>
  <c r="D12" i="1"/>
  <c r="D11" i="1"/>
  <c r="D10" i="1"/>
  <c r="D9" i="1"/>
  <c r="E3" i="1"/>
  <c r="E4" i="1"/>
  <c r="E5" i="1"/>
  <c r="E6" i="1"/>
  <c r="E2" i="1"/>
  <c r="C7" i="1"/>
  <c r="D7" i="1"/>
  <c r="B7" i="1"/>
  <c r="B11" i="1"/>
  <c r="N7" i="1" l="1"/>
</calcChain>
</file>

<file path=xl/sharedStrings.xml><?xml version="1.0" encoding="utf-8"?>
<sst xmlns="http://schemas.openxmlformats.org/spreadsheetml/2006/main" count="44" uniqueCount="41">
  <si>
    <t>N</t>
  </si>
  <si>
    <t>h</t>
  </si>
  <si>
    <t>h, см</t>
  </si>
  <si>
    <t>h1, см</t>
  </si>
  <si>
    <t>t, с</t>
  </si>
  <si>
    <t>mдиск</t>
  </si>
  <si>
    <t>мстержня</t>
  </si>
  <si>
    <t>грамм</t>
  </si>
  <si>
    <t>d_оси</t>
  </si>
  <si>
    <t>см</t>
  </si>
  <si>
    <t>d_маховика</t>
  </si>
  <si>
    <t>I</t>
  </si>
  <si>
    <t>h2</t>
  </si>
  <si>
    <t>I_крутое</t>
  </si>
  <si>
    <t>&lt;-метры</t>
  </si>
  <si>
    <t>A</t>
  </si>
  <si>
    <t>I_относ_погр</t>
  </si>
  <si>
    <t>A_относ_погр</t>
  </si>
  <si>
    <t>diff_t</t>
  </si>
  <si>
    <t>diff_t^2</t>
  </si>
  <si>
    <t>S&lt;t&gt;</t>
  </si>
  <si>
    <t>delta_t</t>
  </si>
  <si>
    <t>delta_&lt;t&gt;</t>
  </si>
  <si>
    <t>t_относ</t>
  </si>
  <si>
    <t>diff_h1</t>
  </si>
  <si>
    <t>diff_h1^2</t>
  </si>
  <si>
    <t>diff_h2</t>
  </si>
  <si>
    <t>diff_h2^2</t>
  </si>
  <si>
    <t>S&lt;h1&gt;</t>
  </si>
  <si>
    <t>delta_&lt;h1&gt;</t>
  </si>
  <si>
    <t>delta_h1</t>
  </si>
  <si>
    <t>h1_относ</t>
  </si>
  <si>
    <t>delta_h</t>
  </si>
  <si>
    <t>delta_d</t>
  </si>
  <si>
    <t>delta_D</t>
  </si>
  <si>
    <t>h_относ</t>
  </si>
  <si>
    <t>delta_m</t>
  </si>
  <si>
    <t>delta_r</t>
  </si>
  <si>
    <t>A_относ</t>
  </si>
  <si>
    <t>I_относ</t>
  </si>
  <si>
    <t>I=(mR^2)/2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</si>
</sst>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3FB5-2B85-5D4F-8CD4-6B765DB8470B}">
  <dimension ref="A1:R20"/>
  <sheetViews>
    <sheetView tabSelected="1" topLeftCell="A8" zoomScale="175" workbookViewId="0">
      <selection activeCell="E17" sqref="E17"/>
    </sheetView>
  </sheetViews>
  <sheetFormatPr baseColWidth="10" defaultRowHeight="16" x14ac:dyDescent="0.2"/>
  <cols>
    <col min="5" max="5" width="13" customWidth="1"/>
    <col min="6" max="6" width="13" bestFit="1" customWidth="1"/>
  </cols>
  <sheetData>
    <row r="1" spans="1:14" x14ac:dyDescent="0.2">
      <c r="A1" t="s">
        <v>0</v>
      </c>
      <c r="B1" t="s">
        <v>2</v>
      </c>
      <c r="C1" t="s">
        <v>3</v>
      </c>
      <c r="D1" t="s">
        <v>4</v>
      </c>
      <c r="E1" t="s">
        <v>12</v>
      </c>
      <c r="G1" t="s">
        <v>18</v>
      </c>
      <c r="H1" t="s">
        <v>19</v>
      </c>
      <c r="J1" t="s">
        <v>24</v>
      </c>
      <c r="K1" t="s">
        <v>25</v>
      </c>
      <c r="M1" t="s">
        <v>26</v>
      </c>
      <c r="N1" t="s">
        <v>27</v>
      </c>
    </row>
    <row r="2" spans="1:14" x14ac:dyDescent="0.2">
      <c r="A2">
        <v>1</v>
      </c>
      <c r="B2">
        <v>0</v>
      </c>
      <c r="C2">
        <v>2.6</v>
      </c>
      <c r="D2">
        <v>1.54</v>
      </c>
      <c r="E2">
        <f>44-C2</f>
        <v>41.4</v>
      </c>
      <c r="G2">
        <f>D2-$D$7</f>
        <v>-1.2000000000000011E-2</v>
      </c>
      <c r="H2">
        <f>G2^2</f>
        <v>1.4400000000000025E-4</v>
      </c>
      <c r="J2">
        <f>C2-$C$7</f>
        <v>-3.9999999999999591E-2</v>
      </c>
      <c r="K2">
        <f>J2^2</f>
        <v>1.5999999999999673E-3</v>
      </c>
      <c r="M2">
        <f>E2-$E$7*100</f>
        <v>3.9999999999999147E-2</v>
      </c>
      <c r="N2">
        <f>M2^2</f>
        <v>1.5999999999999318E-3</v>
      </c>
    </row>
    <row r="3" spans="1:14" x14ac:dyDescent="0.2">
      <c r="A3">
        <v>2</v>
      </c>
      <c r="B3">
        <v>0</v>
      </c>
      <c r="C3">
        <v>2.5</v>
      </c>
      <c r="D3">
        <v>1.54</v>
      </c>
      <c r="E3">
        <f t="shared" ref="E3:E6" si="0">44-C3</f>
        <v>41.5</v>
      </c>
      <c r="G3">
        <f t="shared" ref="G3:G6" si="1">D3-$D$7</f>
        <v>-1.2000000000000011E-2</v>
      </c>
      <c r="H3">
        <f t="shared" ref="H3:H6" si="2">G3^2</f>
        <v>1.4400000000000025E-4</v>
      </c>
      <c r="J3">
        <f t="shared" ref="J3:J6" si="3">C3-$C$7</f>
        <v>-0.13999999999999968</v>
      </c>
      <c r="K3">
        <f t="shared" ref="K3:K6" si="4">J3^2</f>
        <v>1.9599999999999909E-2</v>
      </c>
      <c r="M3">
        <f t="shared" ref="M3:M6" si="5">E3-$E$7*100</f>
        <v>0.14000000000000057</v>
      </c>
      <c r="N3">
        <f t="shared" ref="N3:N6" si="6">M3^2</f>
        <v>1.9600000000000159E-2</v>
      </c>
    </row>
    <row r="4" spans="1:14" x14ac:dyDescent="0.2">
      <c r="A4">
        <v>3</v>
      </c>
      <c r="B4">
        <v>0</v>
      </c>
      <c r="C4">
        <v>3.1</v>
      </c>
      <c r="D4">
        <v>1.56</v>
      </c>
      <c r="E4">
        <f t="shared" si="0"/>
        <v>40.9</v>
      </c>
      <c r="G4">
        <f t="shared" si="1"/>
        <v>8.0000000000000071E-3</v>
      </c>
      <c r="H4">
        <f t="shared" si="2"/>
        <v>6.4000000000000119E-5</v>
      </c>
      <c r="J4">
        <f t="shared" si="3"/>
        <v>0.46000000000000041</v>
      </c>
      <c r="K4">
        <f t="shared" si="4"/>
        <v>0.21160000000000037</v>
      </c>
      <c r="M4">
        <f t="shared" si="5"/>
        <v>-0.46000000000000085</v>
      </c>
      <c r="N4">
        <f t="shared" si="6"/>
        <v>0.21160000000000079</v>
      </c>
    </row>
    <row r="5" spans="1:14" x14ac:dyDescent="0.2">
      <c r="A5">
        <v>4</v>
      </c>
      <c r="B5">
        <v>0</v>
      </c>
      <c r="C5">
        <v>3</v>
      </c>
      <c r="D5">
        <v>1.6</v>
      </c>
      <c r="E5">
        <f t="shared" si="0"/>
        <v>41</v>
      </c>
      <c r="G5">
        <f t="shared" si="1"/>
        <v>4.8000000000000043E-2</v>
      </c>
      <c r="H5">
        <f t="shared" si="2"/>
        <v>2.304000000000004E-3</v>
      </c>
      <c r="J5">
        <f t="shared" si="3"/>
        <v>0.36000000000000032</v>
      </c>
      <c r="K5">
        <f t="shared" si="4"/>
        <v>0.12960000000000024</v>
      </c>
      <c r="M5">
        <f t="shared" si="5"/>
        <v>-0.35999999999999943</v>
      </c>
      <c r="N5">
        <f t="shared" si="6"/>
        <v>0.1295999999999996</v>
      </c>
    </row>
    <row r="6" spans="1:14" x14ac:dyDescent="0.2">
      <c r="A6">
        <v>5</v>
      </c>
      <c r="B6">
        <v>0</v>
      </c>
      <c r="C6">
        <v>2</v>
      </c>
      <c r="D6">
        <v>1.52</v>
      </c>
      <c r="E6">
        <f t="shared" si="0"/>
        <v>42</v>
      </c>
      <c r="G6">
        <f t="shared" si="1"/>
        <v>-3.2000000000000028E-2</v>
      </c>
      <c r="H6">
        <f t="shared" si="2"/>
        <v>1.0240000000000019E-3</v>
      </c>
      <c r="J6">
        <f t="shared" si="3"/>
        <v>-0.63999999999999968</v>
      </c>
      <c r="K6">
        <f t="shared" si="4"/>
        <v>0.40959999999999958</v>
      </c>
      <c r="M6">
        <f t="shared" si="5"/>
        <v>0.64000000000000057</v>
      </c>
      <c r="N6">
        <f t="shared" si="6"/>
        <v>0.40960000000000074</v>
      </c>
    </row>
    <row r="7" spans="1:14" x14ac:dyDescent="0.2">
      <c r="B7">
        <f>SUM(B2:B6)/5</f>
        <v>0</v>
      </c>
      <c r="C7">
        <f t="shared" ref="C7:E7" si="7">SUM(C2:C6)/5</f>
        <v>2.6399999999999997</v>
      </c>
      <c r="D7">
        <f t="shared" si="7"/>
        <v>1.552</v>
      </c>
      <c r="E7">
        <f>SUM(E2:E6)/5/100</f>
        <v>0.41359999999999997</v>
      </c>
      <c r="F7" s="1" t="s">
        <v>14</v>
      </c>
      <c r="H7">
        <f>SUM(H2:H6)</f>
        <v>3.6800000000000066E-3</v>
      </c>
      <c r="K7">
        <f>SUM(K2:K6)</f>
        <v>0.77200000000000002</v>
      </c>
      <c r="N7">
        <f>SUM(N2:N6)</f>
        <v>0.77200000000000124</v>
      </c>
    </row>
    <row r="9" spans="1:14" x14ac:dyDescent="0.2">
      <c r="A9" t="s">
        <v>5</v>
      </c>
      <c r="B9">
        <v>208</v>
      </c>
      <c r="C9" t="s">
        <v>7</v>
      </c>
      <c r="D9">
        <f>B9/1000</f>
        <v>0.20799999999999999</v>
      </c>
    </row>
    <row r="10" spans="1:14" x14ac:dyDescent="0.2">
      <c r="A10" t="s">
        <v>6</v>
      </c>
      <c r="B10">
        <v>75</v>
      </c>
      <c r="C10" t="s">
        <v>7</v>
      </c>
      <c r="D10">
        <f>B10/1000</f>
        <v>7.4999999999999997E-2</v>
      </c>
    </row>
    <row r="11" spans="1:14" x14ac:dyDescent="0.2">
      <c r="A11" t="s">
        <v>8</v>
      </c>
      <c r="B11">
        <f>0.8</f>
        <v>0.8</v>
      </c>
      <c r="C11" t="s">
        <v>9</v>
      </c>
      <c r="D11">
        <f>B11/100</f>
        <v>8.0000000000000002E-3</v>
      </c>
      <c r="E11" t="s">
        <v>11</v>
      </c>
      <c r="F11">
        <f>(SUM(D9:D10))*(POWER(D11/2,2))*((9.82*D7^2)/(2*D13)-1)</f>
        <v>1.1717987160436365E-4</v>
      </c>
    </row>
    <row r="12" spans="1:14" x14ac:dyDescent="0.2">
      <c r="A12" t="s">
        <v>10</v>
      </c>
      <c r="B12">
        <v>9.9</v>
      </c>
      <c r="C12" t="s">
        <v>9</v>
      </c>
      <c r="D12">
        <f>B12/100</f>
        <v>9.9000000000000005E-2</v>
      </c>
      <c r="E12" t="s">
        <v>13</v>
      </c>
      <c r="F12">
        <f>(SUM(D9:D10))*(POWER(D11/2,2))*F13</f>
        <v>1.1341571062690911E-4</v>
      </c>
    </row>
    <row r="13" spans="1:14" x14ac:dyDescent="0.2">
      <c r="A13" t="s">
        <v>1</v>
      </c>
      <c r="B13">
        <v>44</v>
      </c>
      <c r="C13" t="s">
        <v>9</v>
      </c>
      <c r="D13">
        <f>B13/100</f>
        <v>0.44</v>
      </c>
      <c r="E13" t="s">
        <v>15</v>
      </c>
      <c r="F13">
        <f>((9.82*D7^2)/(D13)*(E7/(E7+D13))-1)</f>
        <v>25.047639272727277</v>
      </c>
    </row>
    <row r="14" spans="1:14" x14ac:dyDescent="0.2">
      <c r="E14" t="s">
        <v>16</v>
      </c>
    </row>
    <row r="15" spans="1:14" x14ac:dyDescent="0.2">
      <c r="E15" t="s">
        <v>17</v>
      </c>
    </row>
    <row r="16" spans="1:14" x14ac:dyDescent="0.2">
      <c r="E16" t="s">
        <v>20</v>
      </c>
      <c r="F16">
        <f>SQRT(H7/20)</f>
        <v>1.3564659966250548E-2</v>
      </c>
      <c r="G16" t="s">
        <v>28</v>
      </c>
      <c r="H16">
        <f>SQRT(K7/20)</f>
        <v>0.19646882704388502</v>
      </c>
    </row>
    <row r="17" spans="1:18" x14ac:dyDescent="0.2">
      <c r="E17" t="s">
        <v>22</v>
      </c>
      <c r="F17">
        <f>F16*2.78</f>
        <v>3.7709754706176518E-2</v>
      </c>
      <c r="G17" t="s">
        <v>29</v>
      </c>
      <c r="H17">
        <f>H16*2.78</f>
        <v>0.54618333918200035</v>
      </c>
    </row>
    <row r="18" spans="1:18" x14ac:dyDescent="0.2">
      <c r="E18" t="s">
        <v>21</v>
      </c>
      <c r="F18">
        <f>SQRT(F17^2+(2/3*0.01)^2)</f>
        <v>3.8294517159045714E-2</v>
      </c>
      <c r="G18" t="s">
        <v>30</v>
      </c>
      <c r="H18">
        <f>SQRT(H17^2+(2/3*0.1)^2)</f>
        <v>0.55023693482393965</v>
      </c>
      <c r="I18" t="s">
        <v>32</v>
      </c>
      <c r="J18">
        <f>2/3*0.1</f>
        <v>6.6666666666666666E-2</v>
      </c>
      <c r="K18" t="s">
        <v>36</v>
      </c>
      <c r="L18">
        <f>SQRT(1+1)</f>
        <v>1.4142135623730951</v>
      </c>
      <c r="M18" t="s">
        <v>37</v>
      </c>
      <c r="O18" t="s">
        <v>33</v>
      </c>
      <c r="P18">
        <f>2/3*0.1</f>
        <v>6.6666666666666666E-2</v>
      </c>
      <c r="Q18" t="s">
        <v>34</v>
      </c>
      <c r="R18">
        <f>2/3*0.1</f>
        <v>6.6666666666666666E-2</v>
      </c>
    </row>
    <row r="19" spans="1:18" x14ac:dyDescent="0.2">
      <c r="A19" t="s">
        <v>39</v>
      </c>
      <c r="B19">
        <f>SQRT((L19^2)+(2*P19)^2+D19^2)</f>
        <v>0.17440560843292618</v>
      </c>
      <c r="C19" t="s">
        <v>38</v>
      </c>
      <c r="D19">
        <f>SQRT((2*F19)^2+(J19)^2+(H19)^2)</f>
        <v>5.1132829539097209E-2</v>
      </c>
      <c r="E19" t="s">
        <v>23</v>
      </c>
      <c r="F19">
        <f>F18/D7</f>
        <v>2.4674302293199557E-2</v>
      </c>
      <c r="G19" t="s">
        <v>31</v>
      </c>
      <c r="H19">
        <f>H18/(E7*100)</f>
        <v>1.330360093868326E-2</v>
      </c>
      <c r="I19" t="s">
        <v>35</v>
      </c>
      <c r="J19">
        <f>J18/D13/100</f>
        <v>1.5151515151515152E-3</v>
      </c>
      <c r="L19">
        <f>L18/(B9+B10)</f>
        <v>4.9972210684561666E-3</v>
      </c>
      <c r="P19">
        <f>P18/B11</f>
        <v>8.3333333333333329E-2</v>
      </c>
      <c r="R19">
        <f>R18/B12</f>
        <v>6.7340067340067337E-3</v>
      </c>
    </row>
    <row r="20" spans="1:18" x14ac:dyDescent="0.2">
      <c r="A20" t="s">
        <v>40</v>
      </c>
      <c r="B20">
        <f>((D9+D10)*(D12/2)^2)/2</f>
        <v>3.4671037499999998E-4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Добкес Михаил Константинович</dc:creator>
  <cp:lastModifiedBy>Добкес Михаил Константинович</cp:lastModifiedBy>
  <dcterms:created xsi:type="dcterms:W3CDTF">2026-10-29T18:07:37Z</dcterms:created>
  <dcterms:modified xsi:type="dcterms:W3CDTF">2026-10-30T10:46:33Z</dcterms:modified>
</cp:coreProperties>
</file>