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physics/first_term/labs/lab5/"/>
    </mc:Choice>
  </mc:AlternateContent>
  <xr:revisionPtr revIDLastSave="0" documentId="13_ncr:1_{591B0F32-2911-A546-9282-509F0496903D}" xr6:coauthVersionLast="47" xr6:coauthVersionMax="47" xr10:uidLastSave="{00000000-0000-0000-0000-000000000000}"/>
  <bookViews>
    <workbookView xWindow="0" yWindow="740" windowWidth="29400" windowHeight="18380" activeTab="2" xr2:uid="{ADA14C3B-06AC-2448-8A50-5C48B52BBF76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G18" i="3"/>
  <c r="F19" i="3"/>
  <c r="F18" i="3"/>
  <c r="E19" i="3"/>
  <c r="E18" i="3"/>
  <c r="D19" i="3"/>
  <c r="D18" i="3"/>
  <c r="C19" i="3"/>
  <c r="C18" i="3"/>
  <c r="B19" i="3"/>
  <c r="B18" i="3"/>
  <c r="B44" i="3"/>
  <c r="B43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41" i="3"/>
  <c r="F40" i="3"/>
  <c r="C36" i="3"/>
  <c r="C35" i="3"/>
  <c r="C34" i="3"/>
  <c r="C33" i="3"/>
  <c r="C32" i="3"/>
  <c r="E34" i="3"/>
  <c r="E33" i="3"/>
  <c r="C31" i="3"/>
  <c r="E31" i="3" s="1"/>
  <c r="B32" i="3"/>
  <c r="B33" i="3"/>
  <c r="B34" i="3"/>
  <c r="B35" i="3"/>
  <c r="B36" i="3"/>
  <c r="B31" i="3"/>
  <c r="B29" i="3"/>
  <c r="B28" i="3"/>
  <c r="E36" i="3"/>
  <c r="E35" i="3"/>
  <c r="E32" i="3"/>
  <c r="G3" i="3"/>
  <c r="G4" i="3"/>
  <c r="G5" i="3"/>
  <c r="G6" i="3"/>
  <c r="G7" i="3"/>
  <c r="G2" i="3"/>
  <c r="C17" i="3"/>
  <c r="D17" i="3"/>
  <c r="E17" i="3"/>
  <c r="F17" i="3"/>
  <c r="G17" i="3"/>
  <c r="B17" i="3"/>
  <c r="C16" i="3"/>
  <c r="D16" i="3"/>
  <c r="E16" i="3"/>
  <c r="F16" i="3"/>
  <c r="G16" i="3"/>
  <c r="B16" i="3"/>
  <c r="C15" i="3"/>
  <c r="D15" i="3"/>
  <c r="E15" i="3"/>
  <c r="F15" i="3"/>
  <c r="G15" i="3"/>
  <c r="B15" i="3"/>
  <c r="C14" i="3"/>
  <c r="D14" i="3"/>
  <c r="E14" i="3"/>
  <c r="F14" i="3"/>
  <c r="G14" i="3"/>
  <c r="B14" i="3"/>
  <c r="C13" i="3"/>
  <c r="D13" i="3"/>
  <c r="E13" i="3"/>
  <c r="F13" i="3"/>
  <c r="G13" i="3"/>
  <c r="B13" i="3"/>
  <c r="F3" i="3"/>
  <c r="F4" i="3"/>
  <c r="F5" i="3"/>
  <c r="F6" i="3"/>
  <c r="F7" i="3"/>
  <c r="F2" i="3"/>
  <c r="E3" i="3"/>
  <c r="E4" i="3"/>
  <c r="E5" i="3"/>
  <c r="E6" i="3"/>
  <c r="E7" i="3"/>
  <c r="E2" i="3"/>
  <c r="C30" i="2"/>
  <c r="C29" i="2"/>
  <c r="B28" i="2"/>
  <c r="B29" i="2" s="1"/>
  <c r="G26" i="2"/>
  <c r="G27" i="2"/>
  <c r="G28" i="2"/>
  <c r="G29" i="2"/>
  <c r="G30" i="2"/>
  <c r="G31" i="2"/>
  <c r="G32" i="2"/>
  <c r="G33" i="2"/>
  <c r="G25" i="2"/>
  <c r="C28" i="2"/>
  <c r="B26" i="2"/>
  <c r="B25" i="2"/>
  <c r="C24" i="2"/>
  <c r="E17" i="2"/>
  <c r="E18" i="2"/>
  <c r="E19" i="2"/>
  <c r="E20" i="2"/>
  <c r="E21" i="2"/>
  <c r="E16" i="2"/>
  <c r="C23" i="2"/>
  <c r="D17" i="2"/>
  <c r="D18" i="2"/>
  <c r="D19" i="2"/>
  <c r="D20" i="2"/>
  <c r="D21" i="2"/>
  <c r="D16" i="2"/>
  <c r="C17" i="2"/>
  <c r="C18" i="2"/>
  <c r="C19" i="2"/>
  <c r="C20" i="2"/>
  <c r="C21" i="2"/>
  <c r="B18" i="2"/>
  <c r="B19" i="2"/>
  <c r="B20" i="2"/>
  <c r="B14" i="2"/>
  <c r="B21" i="2" s="1"/>
  <c r="E7" i="2"/>
  <c r="E3" i="2"/>
  <c r="E4" i="2"/>
  <c r="E5" i="2"/>
  <c r="E6" i="2"/>
  <c r="E2" i="2"/>
  <c r="B13" i="2" s="1"/>
  <c r="C16" i="2" s="1"/>
  <c r="E2" i="1"/>
  <c r="D2" i="1"/>
  <c r="D35" i="3" l="1"/>
  <c r="D31" i="3"/>
  <c r="C39" i="3"/>
  <c r="D36" i="3"/>
  <c r="D33" i="3"/>
  <c r="D34" i="3"/>
  <c r="D32" i="3"/>
  <c r="B17" i="2"/>
  <c r="B16" i="2"/>
  <c r="C38" i="3" l="1"/>
  <c r="B40" i="3" s="1"/>
  <c r="B41" i="3" s="1"/>
</calcChain>
</file>

<file path=xl/sharedStrings.xml><?xml version="1.0" encoding="utf-8"?>
<sst xmlns="http://schemas.openxmlformats.org/spreadsheetml/2006/main" count="65" uniqueCount="42">
  <si>
    <t>t1</t>
  </si>
  <si>
    <t>t2</t>
  </si>
  <si>
    <t>t3</t>
  </si>
  <si>
    <t>t</t>
  </si>
  <si>
    <t>&lt;t&gt;</t>
  </si>
  <si>
    <t>T</t>
  </si>
  <si>
    <t>n</t>
  </si>
  <si>
    <t>phi</t>
  </si>
  <si>
    <t>МНК</t>
  </si>
  <si>
    <t>сухое</t>
  </si>
  <si>
    <t>y</t>
  </si>
  <si>
    <t>x</t>
  </si>
  <si>
    <t>a</t>
  </si>
  <si>
    <t>b</t>
  </si>
  <si>
    <t>y=a+bx</t>
  </si>
  <si>
    <t>&lt;phi&gt;</t>
  </si>
  <si>
    <t>phi-&lt;phi&gt;</t>
  </si>
  <si>
    <t>t-&lt;t&gt;</t>
  </si>
  <si>
    <t>b=</t>
  </si>
  <si>
    <t>a=</t>
  </si>
  <si>
    <t>phi_з</t>
  </si>
  <si>
    <t>n_ост</t>
  </si>
  <si>
    <t>кол-во рисок</t>
  </si>
  <si>
    <t>Величина</t>
  </si>
  <si>
    <r>
      <t>R_</t>
    </r>
    <r>
      <rPr>
        <sz val="8"/>
        <color theme="1"/>
        <rFont val="Aptos Narrow (Body)"/>
      </rPr>
      <t>B</t>
    </r>
  </si>
  <si>
    <r>
      <t>R_</t>
    </r>
    <r>
      <rPr>
        <sz val="8"/>
        <color theme="1"/>
        <rFont val="Aptos Narrow (Body)"/>
      </rPr>
      <t>H</t>
    </r>
  </si>
  <si>
    <r>
      <t>R_</t>
    </r>
    <r>
      <rPr>
        <sz val="8"/>
        <color theme="1"/>
        <rFont val="Aptos Narrow (Body)"/>
      </rPr>
      <t>Б</t>
    </r>
  </si>
  <si>
    <r>
      <t>I_</t>
    </r>
    <r>
      <rPr>
        <sz val="8"/>
        <color theme="1"/>
        <rFont val="Aptos Narrow (Body)"/>
      </rPr>
      <t>ГР</t>
    </r>
  </si>
  <si>
    <r>
      <t>L_</t>
    </r>
    <r>
      <rPr>
        <sz val="8"/>
        <color theme="1"/>
        <rFont val="Aptos Narrow (Body)"/>
      </rPr>
      <t>пр_эксп</t>
    </r>
  </si>
  <si>
    <r>
      <t>L_</t>
    </r>
    <r>
      <rPr>
        <sz val="8"/>
        <color theme="1"/>
        <rFont val="Aptos Narrow (Body)"/>
      </rPr>
      <t>пр_теор</t>
    </r>
  </si>
  <si>
    <t>l0</t>
  </si>
  <si>
    <t>l1</t>
  </si>
  <si>
    <t>h_гр</t>
  </si>
  <si>
    <t>m_гр</t>
  </si>
  <si>
    <t>I</t>
  </si>
  <si>
    <t>T^2</t>
  </si>
  <si>
    <t>&lt;I&gt;</t>
  </si>
  <si>
    <t>&lt;T^2&gt;</t>
  </si>
  <si>
    <t>T-&lt;&gt;</t>
  </si>
  <si>
    <t>I-&lt;I&gt;</t>
  </si>
  <si>
    <t>ml_эксп=</t>
  </si>
  <si>
    <t>ml_теор=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</si>
</sst>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AF4B-8E94-8B49-9E43-1062D6724A0E}">
  <dimension ref="A1:F2"/>
  <sheetViews>
    <sheetView zoomScale="188" workbookViewId="0">
      <selection activeCell="E3" sqref="E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">
      <c r="A2">
        <v>18.82</v>
      </c>
      <c r="B2">
        <v>18.02</v>
      </c>
      <c r="C2">
        <v>18.760000000000002</v>
      </c>
      <c r="D2">
        <f>SUM(A2:C2)/3</f>
        <v>18.533333333333335</v>
      </c>
      <c r="E2">
        <f>D2/F2</f>
        <v>1.8533333333333335</v>
      </c>
      <c r="F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2DCD-EC0C-1C4B-BA63-4E279ACDF42D}">
  <dimension ref="A1:G33"/>
  <sheetViews>
    <sheetView topLeftCell="A19" zoomScale="215" workbookViewId="0">
      <selection activeCell="F24" sqref="F24:G33"/>
    </sheetView>
  </sheetViews>
  <sheetFormatPr baseColWidth="10" defaultRowHeight="16" x14ac:dyDescent="0.2"/>
  <sheetData>
    <row r="1" spans="1:5" x14ac:dyDescent="0.2">
      <c r="A1" t="s">
        <v>7</v>
      </c>
      <c r="B1" t="s">
        <v>0</v>
      </c>
      <c r="C1" t="s">
        <v>1</v>
      </c>
      <c r="D1" t="s">
        <v>2</v>
      </c>
      <c r="E1" t="s">
        <v>4</v>
      </c>
    </row>
    <row r="2" spans="1:5" x14ac:dyDescent="0.2">
      <c r="A2">
        <v>25</v>
      </c>
      <c r="B2">
        <v>37.86</v>
      </c>
      <c r="C2">
        <v>38.86</v>
      </c>
      <c r="D2">
        <v>42.73</v>
      </c>
      <c r="E2">
        <f>SUM(B2:D2)/3</f>
        <v>39.816666666666663</v>
      </c>
    </row>
    <row r="3" spans="1:5" x14ac:dyDescent="0.2">
      <c r="A3">
        <v>20</v>
      </c>
      <c r="B3">
        <v>80.08</v>
      </c>
      <c r="C3">
        <v>77.95</v>
      </c>
      <c r="D3">
        <v>87.3</v>
      </c>
      <c r="E3">
        <f t="shared" ref="E3:E7" si="0">SUM(B3:D3)/3</f>
        <v>81.776666666666657</v>
      </c>
    </row>
    <row r="4" spans="1:5" x14ac:dyDescent="0.2">
      <c r="A4">
        <v>15</v>
      </c>
      <c r="B4">
        <v>130.1</v>
      </c>
      <c r="C4">
        <v>127.95</v>
      </c>
      <c r="D4">
        <v>133.66999999999999</v>
      </c>
      <c r="E4">
        <f t="shared" si="0"/>
        <v>130.57333333333335</v>
      </c>
    </row>
    <row r="5" spans="1:5" x14ac:dyDescent="0.2">
      <c r="A5">
        <v>10</v>
      </c>
      <c r="B5">
        <v>196.76</v>
      </c>
      <c r="C5">
        <v>185.33</v>
      </c>
      <c r="D5">
        <v>191.98</v>
      </c>
      <c r="E5">
        <f t="shared" si="0"/>
        <v>191.35666666666668</v>
      </c>
    </row>
    <row r="6" spans="1:5" x14ac:dyDescent="0.2">
      <c r="A6">
        <v>5</v>
      </c>
      <c r="B6">
        <v>259.33999999999997</v>
      </c>
      <c r="C6">
        <v>259.31</v>
      </c>
      <c r="D6">
        <v>264.7</v>
      </c>
      <c r="E6">
        <f t="shared" si="0"/>
        <v>261.11666666666662</v>
      </c>
    </row>
    <row r="7" spans="1:5" x14ac:dyDescent="0.2">
      <c r="A7">
        <v>30</v>
      </c>
      <c r="B7">
        <v>0</v>
      </c>
      <c r="C7">
        <v>0</v>
      </c>
      <c r="D7">
        <v>0</v>
      </c>
      <c r="E7">
        <f t="shared" si="0"/>
        <v>0</v>
      </c>
    </row>
    <row r="9" spans="1:5" x14ac:dyDescent="0.2">
      <c r="A9" t="s">
        <v>8</v>
      </c>
      <c r="B9" t="s">
        <v>14</v>
      </c>
    </row>
    <row r="10" spans="1:5" x14ac:dyDescent="0.2">
      <c r="A10" t="s">
        <v>9</v>
      </c>
    </row>
    <row r="11" spans="1:5" x14ac:dyDescent="0.2">
      <c r="A11" t="s">
        <v>11</v>
      </c>
      <c r="B11" t="s">
        <v>10</v>
      </c>
      <c r="C11" t="s">
        <v>12</v>
      </c>
      <c r="D11" t="s">
        <v>13</v>
      </c>
    </row>
    <row r="12" spans="1:5" x14ac:dyDescent="0.2">
      <c r="A12" t="s">
        <v>3</v>
      </c>
      <c r="B12" t="s">
        <v>7</v>
      </c>
    </row>
    <row r="13" spans="1:5" x14ac:dyDescent="0.2">
      <c r="A13" t="s">
        <v>4</v>
      </c>
      <c r="B13">
        <f>SUM(E2:E7)/6</f>
        <v>117.44</v>
      </c>
    </row>
    <row r="14" spans="1:5" x14ac:dyDescent="0.2">
      <c r="A14" t="s">
        <v>15</v>
      </c>
      <c r="B14">
        <f>SUM(A2:A7)/6</f>
        <v>17.5</v>
      </c>
    </row>
    <row r="15" spans="1:5" x14ac:dyDescent="0.2">
      <c r="B15" t="s">
        <v>16</v>
      </c>
      <c r="C15" t="s">
        <v>17</v>
      </c>
    </row>
    <row r="16" spans="1:5" x14ac:dyDescent="0.2">
      <c r="A16">
        <v>25</v>
      </c>
      <c r="B16">
        <f>A2-$B$14</f>
        <v>7.5</v>
      </c>
      <c r="C16">
        <f>E2-$B$13</f>
        <v>-77.623333333333335</v>
      </c>
      <c r="D16">
        <f>C16*B16</f>
        <v>-582.17499999999995</v>
      </c>
      <c r="E16">
        <f>C16^2</f>
        <v>6025.3818777777778</v>
      </c>
    </row>
    <row r="17" spans="1:7" x14ac:dyDescent="0.2">
      <c r="A17">
        <v>20</v>
      </c>
      <c r="B17">
        <f t="shared" ref="B17:B21" si="1">A3-$B$14</f>
        <v>2.5</v>
      </c>
      <c r="C17">
        <f t="shared" ref="C17:C21" si="2">E3-$B$13</f>
        <v>-35.663333333333341</v>
      </c>
      <c r="D17">
        <f t="shared" ref="D17:D21" si="3">C17*B17</f>
        <v>-89.15833333333336</v>
      </c>
      <c r="E17">
        <f t="shared" ref="E17:E21" si="4">C17^2</f>
        <v>1271.8733444444449</v>
      </c>
    </row>
    <row r="18" spans="1:7" x14ac:dyDescent="0.2">
      <c r="A18">
        <v>15</v>
      </c>
      <c r="B18">
        <f t="shared" si="1"/>
        <v>-2.5</v>
      </c>
      <c r="C18">
        <f t="shared" si="2"/>
        <v>13.133333333333354</v>
      </c>
      <c r="D18">
        <f t="shared" si="3"/>
        <v>-32.833333333333385</v>
      </c>
      <c r="E18">
        <f t="shared" si="4"/>
        <v>172.48444444444499</v>
      </c>
    </row>
    <row r="19" spans="1:7" x14ac:dyDescent="0.2">
      <c r="A19">
        <v>10</v>
      </c>
      <c r="B19">
        <f t="shared" si="1"/>
        <v>-7.5</v>
      </c>
      <c r="C19">
        <f t="shared" si="2"/>
        <v>73.916666666666686</v>
      </c>
      <c r="D19">
        <f t="shared" si="3"/>
        <v>-554.37500000000011</v>
      </c>
      <c r="E19">
        <f t="shared" si="4"/>
        <v>5463.673611111114</v>
      </c>
    </row>
    <row r="20" spans="1:7" x14ac:dyDescent="0.2">
      <c r="A20">
        <v>5</v>
      </c>
      <c r="B20">
        <f t="shared" si="1"/>
        <v>-12.5</v>
      </c>
      <c r="C20">
        <f t="shared" si="2"/>
        <v>143.67666666666662</v>
      </c>
      <c r="D20">
        <f t="shared" si="3"/>
        <v>-1795.9583333333328</v>
      </c>
      <c r="E20">
        <f t="shared" si="4"/>
        <v>20642.984544444433</v>
      </c>
    </row>
    <row r="21" spans="1:7" x14ac:dyDescent="0.2">
      <c r="A21">
        <v>30</v>
      </c>
      <c r="B21">
        <f t="shared" si="1"/>
        <v>12.5</v>
      </c>
      <c r="C21">
        <f t="shared" si="2"/>
        <v>-117.44</v>
      </c>
      <c r="D21">
        <f t="shared" si="3"/>
        <v>-1468</v>
      </c>
      <c r="E21">
        <f t="shared" si="4"/>
        <v>13792.1536</v>
      </c>
    </row>
    <row r="23" spans="1:7" x14ac:dyDescent="0.2">
      <c r="C23">
        <f>SUM(D16:D21)</f>
        <v>-4522.5</v>
      </c>
    </row>
    <row r="24" spans="1:7" x14ac:dyDescent="0.2">
      <c r="C24">
        <f>SUM(E16:E21)</f>
        <v>47368.551422222212</v>
      </c>
      <c r="F24" t="s">
        <v>3</v>
      </c>
      <c r="G24" t="s">
        <v>7</v>
      </c>
    </row>
    <row r="25" spans="1:7" x14ac:dyDescent="0.2">
      <c r="A25" t="s">
        <v>18</v>
      </c>
      <c r="B25">
        <f>C23/C24</f>
        <v>-9.5474737229949161E-2</v>
      </c>
      <c r="F25">
        <v>0</v>
      </c>
      <c r="G25">
        <f>$B$26+$B$25*F25</f>
        <v>28.71255314028523</v>
      </c>
    </row>
    <row r="26" spans="1:7" x14ac:dyDescent="0.2">
      <c r="A26" t="s">
        <v>19</v>
      </c>
      <c r="B26">
        <f>B14-B25*B13</f>
        <v>28.71255314028523</v>
      </c>
      <c r="F26">
        <v>40</v>
      </c>
      <c r="G26">
        <f t="shared" ref="G26:G34" si="5">$B$26+$B$25*F26</f>
        <v>24.893563651087263</v>
      </c>
    </row>
    <row r="27" spans="1:7" x14ac:dyDescent="0.2">
      <c r="F27">
        <v>80</v>
      </c>
      <c r="G27">
        <f t="shared" si="5"/>
        <v>21.074574161889299</v>
      </c>
    </row>
    <row r="28" spans="1:7" x14ac:dyDescent="0.2">
      <c r="A28" t="s">
        <v>20</v>
      </c>
      <c r="B28">
        <f>ABS(B25)*1.853/4</f>
        <v>4.4228672021773947E-2</v>
      </c>
      <c r="C28">
        <f>B28*3.14/180</f>
        <v>7.7154461193538993E-4</v>
      </c>
      <c r="F28">
        <v>120</v>
      </c>
      <c r="G28">
        <f t="shared" si="5"/>
        <v>17.255584672691331</v>
      </c>
    </row>
    <row r="29" spans="1:7" x14ac:dyDescent="0.2">
      <c r="A29" t="s">
        <v>21</v>
      </c>
      <c r="B29">
        <f>(30-B28)/(2*B28)</f>
        <v>338.64651546886694</v>
      </c>
      <c r="C29">
        <f>B29/2</f>
        <v>169.32325773443347</v>
      </c>
      <c r="F29">
        <v>160</v>
      </c>
      <c r="G29">
        <f t="shared" si="5"/>
        <v>13.436595183493365</v>
      </c>
    </row>
    <row r="30" spans="1:7" x14ac:dyDescent="0.2">
      <c r="C30">
        <f>170*1.853</f>
        <v>315.01</v>
      </c>
      <c r="F30">
        <v>200</v>
      </c>
      <c r="G30">
        <f t="shared" si="5"/>
        <v>9.6176056942953991</v>
      </c>
    </row>
    <row r="31" spans="1:7" x14ac:dyDescent="0.2">
      <c r="F31">
        <v>240</v>
      </c>
      <c r="G31">
        <f t="shared" si="5"/>
        <v>5.7986162050974315</v>
      </c>
    </row>
    <row r="32" spans="1:7" x14ac:dyDescent="0.2">
      <c r="F32">
        <v>280</v>
      </c>
      <c r="G32">
        <f t="shared" si="5"/>
        <v>1.9796267158994638</v>
      </c>
    </row>
    <row r="33" spans="6:7" x14ac:dyDescent="0.2">
      <c r="F33">
        <v>320</v>
      </c>
      <c r="G33">
        <f t="shared" si="5"/>
        <v>-1.8393627732985003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E08F-C142-C545-A7F2-D1DC350FFBF2}">
  <dimension ref="A1:G248"/>
  <sheetViews>
    <sheetView tabSelected="1" topLeftCell="A12" zoomScale="209" workbookViewId="0">
      <selection activeCell="G20" sqref="G20"/>
    </sheetView>
  </sheetViews>
  <sheetFormatPr baseColWidth="10" defaultRowHeight="16" x14ac:dyDescent="0.2"/>
  <cols>
    <col min="1" max="1" width="11.83203125" customWidth="1"/>
    <col min="2" max="2" width="10.83203125" customWidth="1"/>
  </cols>
  <sheetData>
    <row r="1" spans="1:7" x14ac:dyDescent="0.2">
      <c r="A1" t="s">
        <v>22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35</v>
      </c>
    </row>
    <row r="2" spans="1:7" x14ac:dyDescent="0.2">
      <c r="A2">
        <v>1</v>
      </c>
      <c r="B2">
        <v>16.2</v>
      </c>
      <c r="C2">
        <v>16.59</v>
      </c>
      <c r="D2">
        <v>16.34</v>
      </c>
      <c r="E2">
        <f>SUM(B2:D2)/3</f>
        <v>16.376666666666665</v>
      </c>
      <c r="F2">
        <f>E2/10</f>
        <v>1.6376666666666666</v>
      </c>
      <c r="G2">
        <f>F2*F2</f>
        <v>2.6819521111111109</v>
      </c>
    </row>
    <row r="3" spans="1:7" x14ac:dyDescent="0.2">
      <c r="A3">
        <v>2</v>
      </c>
      <c r="B3">
        <v>17.39</v>
      </c>
      <c r="C3">
        <v>17.68</v>
      </c>
      <c r="D3">
        <v>17.37</v>
      </c>
      <c r="E3">
        <f t="shared" ref="E3:E7" si="0">SUM(B3:D3)/3</f>
        <v>17.48</v>
      </c>
      <c r="F3">
        <f t="shared" ref="F3:F7" si="1">E3/10</f>
        <v>1.748</v>
      </c>
      <c r="G3">
        <f t="shared" ref="G3:G7" si="2">F3*F3</f>
        <v>3.055504</v>
      </c>
    </row>
    <row r="4" spans="1:7" x14ac:dyDescent="0.2">
      <c r="A4">
        <v>3</v>
      </c>
      <c r="B4">
        <v>18.88</v>
      </c>
      <c r="C4">
        <v>18.43</v>
      </c>
      <c r="D4">
        <v>18.57</v>
      </c>
      <c r="E4">
        <f t="shared" si="0"/>
        <v>18.626666666666669</v>
      </c>
      <c r="F4">
        <f t="shared" si="1"/>
        <v>1.8626666666666669</v>
      </c>
      <c r="G4">
        <f t="shared" si="2"/>
        <v>3.4695271111111121</v>
      </c>
    </row>
    <row r="5" spans="1:7" x14ac:dyDescent="0.2">
      <c r="A5">
        <v>4</v>
      </c>
      <c r="B5">
        <v>19.760000000000002</v>
      </c>
      <c r="C5">
        <v>19.649999999999999</v>
      </c>
      <c r="D5">
        <v>19.87</v>
      </c>
      <c r="E5">
        <f t="shared" si="0"/>
        <v>19.760000000000002</v>
      </c>
      <c r="F5">
        <f t="shared" si="1"/>
        <v>1.9760000000000002</v>
      </c>
      <c r="G5">
        <f t="shared" si="2"/>
        <v>3.9045760000000009</v>
      </c>
    </row>
    <row r="6" spans="1:7" x14ac:dyDescent="0.2">
      <c r="A6">
        <v>5</v>
      </c>
      <c r="B6">
        <v>21.19</v>
      </c>
      <c r="C6">
        <v>21.74</v>
      </c>
      <c r="D6">
        <v>20.89</v>
      </c>
      <c r="E6">
        <f t="shared" si="0"/>
        <v>21.273333333333333</v>
      </c>
      <c r="F6">
        <f t="shared" si="1"/>
        <v>2.1273333333333335</v>
      </c>
      <c r="G6">
        <f t="shared" si="2"/>
        <v>4.5255471111111119</v>
      </c>
    </row>
    <row r="7" spans="1:7" x14ac:dyDescent="0.2">
      <c r="A7">
        <v>6</v>
      </c>
      <c r="B7">
        <v>22.54</v>
      </c>
      <c r="C7">
        <v>22.72</v>
      </c>
      <c r="D7">
        <v>23.08</v>
      </c>
      <c r="E7">
        <f t="shared" si="0"/>
        <v>22.78</v>
      </c>
      <c r="F7">
        <f t="shared" si="1"/>
        <v>2.278</v>
      </c>
      <c r="G7">
        <f t="shared" si="2"/>
        <v>5.1892839999999998</v>
      </c>
    </row>
    <row r="12" spans="1:7" x14ac:dyDescent="0.2">
      <c r="A12" t="s">
        <v>23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</row>
    <row r="13" spans="1:7" x14ac:dyDescent="0.2">
      <c r="A13" t="s">
        <v>24</v>
      </c>
      <c r="B13">
        <f>$B$22+$B$23/2</f>
        <v>77</v>
      </c>
      <c r="C13">
        <f t="shared" ref="C13:G13" si="3">$B$22+$B$23/2</f>
        <v>77</v>
      </c>
      <c r="D13">
        <f t="shared" si="3"/>
        <v>77</v>
      </c>
      <c r="E13">
        <f t="shared" si="3"/>
        <v>77</v>
      </c>
      <c r="F13">
        <f t="shared" si="3"/>
        <v>77</v>
      </c>
      <c r="G13">
        <f t="shared" si="3"/>
        <v>77</v>
      </c>
    </row>
    <row r="14" spans="1:7" x14ac:dyDescent="0.2">
      <c r="A14" t="s">
        <v>25</v>
      </c>
      <c r="B14">
        <f>$B$22+$B$23/2+$B$21*(6-1)</f>
        <v>202</v>
      </c>
      <c r="C14">
        <f t="shared" ref="C14:G14" si="4">$B$22+$B$23/2+$B$21*(6-1)</f>
        <v>202</v>
      </c>
      <c r="D14">
        <f t="shared" si="4"/>
        <v>202</v>
      </c>
      <c r="E14">
        <f t="shared" si="4"/>
        <v>202</v>
      </c>
      <c r="F14">
        <f t="shared" si="4"/>
        <v>202</v>
      </c>
      <c r="G14">
        <f t="shared" si="4"/>
        <v>202</v>
      </c>
    </row>
    <row r="15" spans="1:7" x14ac:dyDescent="0.2">
      <c r="A15" t="s">
        <v>26</v>
      </c>
      <c r="B15">
        <f>$B$22+$B$23/2+$B$21*(B12-1)</f>
        <v>77</v>
      </c>
      <c r="C15">
        <f t="shared" ref="C15:G15" si="5">$B$22+$B$23/2+$B$21*(C12-1)</f>
        <v>102</v>
      </c>
      <c r="D15">
        <f t="shared" si="5"/>
        <v>127</v>
      </c>
      <c r="E15">
        <f t="shared" si="5"/>
        <v>152</v>
      </c>
      <c r="F15">
        <f t="shared" si="5"/>
        <v>177</v>
      </c>
      <c r="G15">
        <f t="shared" si="5"/>
        <v>202</v>
      </c>
    </row>
    <row r="16" spans="1:7" x14ac:dyDescent="0.2">
      <c r="A16" t="s">
        <v>27</v>
      </c>
      <c r="B16">
        <f>$B$24*(B13^2+B14^2+2*B15^2)/1000000</f>
        <v>2.3905127999999998E-2</v>
      </c>
      <c r="C16">
        <f t="shared" ref="C16:G16" si="6">$B$24*(C13^2+C14^2+2*C15^2)/1000000</f>
        <v>2.7556727999999999E-2</v>
      </c>
      <c r="D16">
        <f t="shared" si="6"/>
        <v>3.2228328000000001E-2</v>
      </c>
      <c r="E16">
        <f t="shared" si="6"/>
        <v>3.7919927999999999E-2</v>
      </c>
      <c r="F16">
        <f t="shared" si="6"/>
        <v>4.4631527999999997E-2</v>
      </c>
      <c r="G16">
        <f t="shared" si="6"/>
        <v>5.2363127999999995E-2</v>
      </c>
    </row>
    <row r="17" spans="1:7" x14ac:dyDescent="0.2">
      <c r="A17" t="s">
        <v>34</v>
      </c>
      <c r="B17">
        <f>B16+8/1000</f>
        <v>3.1905127999999998E-2</v>
      </c>
      <c r="C17">
        <f t="shared" ref="C17:G17" si="7">C16+8/1000</f>
        <v>3.5556727999999996E-2</v>
      </c>
      <c r="D17">
        <f t="shared" si="7"/>
        <v>4.0228328000000001E-2</v>
      </c>
      <c r="E17">
        <f t="shared" si="7"/>
        <v>4.5919927999999999E-2</v>
      </c>
      <c r="F17">
        <f t="shared" si="7"/>
        <v>5.2631527999999997E-2</v>
      </c>
      <c r="G17">
        <f t="shared" si="7"/>
        <v>6.0363127999999995E-2</v>
      </c>
    </row>
    <row r="18" spans="1:7" x14ac:dyDescent="0.2">
      <c r="A18" t="s">
        <v>28</v>
      </c>
      <c r="B18">
        <f>G2/4/PI()^2*9.82*1000</f>
        <v>667.11817061796785</v>
      </c>
      <c r="C18">
        <f>G3/4/PI()^2*9.82*1000</f>
        <v>760.03677707406882</v>
      </c>
      <c r="D18">
        <f>G4/4/PI()^2*9.82*1000</f>
        <v>863.02233723143354</v>
      </c>
      <c r="E18">
        <f>G5/4/PI()^2*9.82*1000</f>
        <v>971.23792306629593</v>
      </c>
      <c r="F18">
        <f>G6/4/PI()^2*9.82*1000</f>
        <v>1125.7004542706381</v>
      </c>
      <c r="G18">
        <f>G7/4/PI()^2*9.82*1000</f>
        <v>1290.8006949694818</v>
      </c>
    </row>
    <row r="19" spans="1:7" x14ac:dyDescent="0.2">
      <c r="A19" t="s">
        <v>29</v>
      </c>
      <c r="B19">
        <f>B17/$B$44*1000</f>
        <v>625.59074509803929</v>
      </c>
      <c r="C19">
        <f>C17/$B$44*1000</f>
        <v>697.19074509803909</v>
      </c>
      <c r="D19">
        <f>D17/$B$44*1000</f>
        <v>788.79074509803922</v>
      </c>
      <c r="E19">
        <f>E17/$B$44*1000</f>
        <v>900.39074509803925</v>
      </c>
      <c r="F19">
        <f>F17/$B$44*1000</f>
        <v>1031.9907450980393</v>
      </c>
      <c r="G19">
        <f>G17/$B$44*1000</f>
        <v>1183.5907450980392</v>
      </c>
    </row>
    <row r="20" spans="1:7" x14ac:dyDescent="0.2">
      <c r="A20" s="1"/>
    </row>
    <row r="21" spans="1:7" x14ac:dyDescent="0.2">
      <c r="A21" t="s">
        <v>30</v>
      </c>
      <c r="B21">
        <v>25</v>
      </c>
    </row>
    <row r="22" spans="1:7" x14ac:dyDescent="0.2">
      <c r="A22" t="s">
        <v>31</v>
      </c>
      <c r="B22">
        <v>57</v>
      </c>
    </row>
    <row r="23" spans="1:7" x14ac:dyDescent="0.2">
      <c r="A23" t="s">
        <v>32</v>
      </c>
      <c r="B23">
        <v>40</v>
      </c>
    </row>
    <row r="24" spans="1:7" x14ac:dyDescent="0.2">
      <c r="A24" t="s">
        <v>33</v>
      </c>
      <c r="B24">
        <v>0.40799999999999997</v>
      </c>
    </row>
    <row r="26" spans="1:7" x14ac:dyDescent="0.2">
      <c r="A26" t="s">
        <v>11</v>
      </c>
      <c r="B26" t="s">
        <v>10</v>
      </c>
      <c r="C26" t="s">
        <v>12</v>
      </c>
      <c r="D26" t="s">
        <v>13</v>
      </c>
    </row>
    <row r="27" spans="1:7" x14ac:dyDescent="0.2">
      <c r="A27" t="s">
        <v>34</v>
      </c>
      <c r="B27" t="s">
        <v>35</v>
      </c>
    </row>
    <row r="28" spans="1:7" x14ac:dyDescent="0.2">
      <c r="A28" t="s">
        <v>36</v>
      </c>
      <c r="B28">
        <f>SUM(B17:G17)/6</f>
        <v>4.4434127999999996E-2</v>
      </c>
    </row>
    <row r="29" spans="1:7" x14ac:dyDescent="0.2">
      <c r="A29" t="s">
        <v>37</v>
      </c>
      <c r="B29">
        <f>SUM( G2:G7)/6</f>
        <v>3.8043983888888895</v>
      </c>
    </row>
    <row r="30" spans="1:7" x14ac:dyDescent="0.2">
      <c r="B30" t="s">
        <v>38</v>
      </c>
      <c r="C30" t="s">
        <v>39</v>
      </c>
    </row>
    <row r="31" spans="1:7" x14ac:dyDescent="0.2">
      <c r="A31">
        <v>25</v>
      </c>
      <c r="B31">
        <f>G2-$B$29</f>
        <v>-1.1224462777777786</v>
      </c>
      <c r="C31">
        <f>B17-$B$28</f>
        <v>-1.2528999999999998E-2</v>
      </c>
      <c r="D31">
        <f>C31*B31</f>
        <v>1.4063129414277786E-2</v>
      </c>
      <c r="E31">
        <f>C31^2</f>
        <v>1.5697584099999995E-4</v>
      </c>
    </row>
    <row r="32" spans="1:7" x14ac:dyDescent="0.2">
      <c r="A32">
        <v>20</v>
      </c>
      <c r="B32">
        <f t="shared" ref="B32:B36" si="8">G3-$B$29</f>
        <v>-0.74889438888888948</v>
      </c>
      <c r="C32">
        <f>C17-$B$28</f>
        <v>-8.8774000000000006E-3</v>
      </c>
      <c r="D32">
        <f t="shared" ref="D32:D36" si="9">C32*B32</f>
        <v>6.6482350479222276E-3</v>
      </c>
      <c r="E32">
        <f t="shared" ref="E32:E36" si="10">C32^2</f>
        <v>7.8808230760000011E-5</v>
      </c>
    </row>
    <row r="33" spans="1:6" x14ac:dyDescent="0.2">
      <c r="A33">
        <v>15</v>
      </c>
      <c r="B33">
        <f t="shared" si="8"/>
        <v>-0.33487127777777737</v>
      </c>
      <c r="C33">
        <f>D17-$B$28</f>
        <v>-4.2057999999999957E-3</v>
      </c>
      <c r="D33">
        <f t="shared" si="9"/>
        <v>1.4084016200777746E-3</v>
      </c>
      <c r="E33">
        <f t="shared" si="10"/>
        <v>1.7688753639999962E-5</v>
      </c>
    </row>
    <row r="34" spans="1:6" x14ac:dyDescent="0.2">
      <c r="A34">
        <v>10</v>
      </c>
      <c r="B34">
        <f t="shared" si="8"/>
        <v>0.10017761111111145</v>
      </c>
      <c r="C34">
        <f>E17-$B$28</f>
        <v>1.4858000000000024E-3</v>
      </c>
      <c r="D34">
        <f t="shared" si="9"/>
        <v>1.4884389458888963E-4</v>
      </c>
      <c r="E34">
        <f t="shared" si="10"/>
        <v>2.2076016400000071E-6</v>
      </c>
    </row>
    <row r="35" spans="1:6" x14ac:dyDescent="0.2">
      <c r="A35">
        <v>5</v>
      </c>
      <c r="B35">
        <f t="shared" si="8"/>
        <v>0.72114872222222237</v>
      </c>
      <c r="C35">
        <f>F17-$B$28</f>
        <v>8.1974000000000005E-3</v>
      </c>
      <c r="D35">
        <f t="shared" si="9"/>
        <v>5.9115445355444459E-3</v>
      </c>
      <c r="E35">
        <f t="shared" si="10"/>
        <v>6.7197366760000002E-5</v>
      </c>
    </row>
    <row r="36" spans="1:6" x14ac:dyDescent="0.2">
      <c r="A36">
        <v>30</v>
      </c>
      <c r="B36">
        <f t="shared" si="8"/>
        <v>1.3848856111111103</v>
      </c>
      <c r="C36">
        <f>G17-$B$28</f>
        <v>1.5928999999999999E-2</v>
      </c>
      <c r="D36">
        <f t="shared" si="9"/>
        <v>2.2059842899388876E-2</v>
      </c>
      <c r="E36">
        <f t="shared" si="10"/>
        <v>2.5373304099999996E-4</v>
      </c>
    </row>
    <row r="38" spans="1:6" x14ac:dyDescent="0.2">
      <c r="C38">
        <f>SUM(D31:D36)</f>
        <v>5.0239997411799998E-2</v>
      </c>
    </row>
    <row r="39" spans="1:6" x14ac:dyDescent="0.2">
      <c r="C39">
        <f>SUM(E31:E36)</f>
        <v>5.7661083479999993E-4</v>
      </c>
      <c r="E39" t="s">
        <v>34</v>
      </c>
      <c r="F39" t="s">
        <v>35</v>
      </c>
    </row>
    <row r="40" spans="1:6" x14ac:dyDescent="0.2">
      <c r="A40" t="s">
        <v>18</v>
      </c>
      <c r="B40">
        <f>C38/C39</f>
        <v>87.129818552969041</v>
      </c>
      <c r="E40">
        <v>0</v>
      </c>
      <c r="F40">
        <f>$B$41+$B$40*E40</f>
        <v>-6.7139121310511474E-2</v>
      </c>
    </row>
    <row r="41" spans="1:6" x14ac:dyDescent="0.2">
      <c r="A41" t="s">
        <v>19</v>
      </c>
      <c r="B41">
        <f>B29-B40*B28</f>
        <v>-6.7139121310511474E-2</v>
      </c>
      <c r="E41">
        <v>6.5000000000000002E-2</v>
      </c>
      <c r="F41">
        <f>$B$41+$B$40*E41</f>
        <v>5.5962990846324772</v>
      </c>
    </row>
    <row r="42" spans="1:6" x14ac:dyDescent="0.2">
      <c r="E42">
        <v>0.03</v>
      </c>
      <c r="F42">
        <f t="shared" ref="F42:F105" si="11">$B$41+$B$40*E42</f>
        <v>2.5467554352785595</v>
      </c>
    </row>
    <row r="43" spans="1:6" x14ac:dyDescent="0.2">
      <c r="A43" t="s">
        <v>40</v>
      </c>
      <c r="B43">
        <f>(4*(PI()^2))/(B40*9.82)</f>
        <v>4.6140408937592234E-2</v>
      </c>
      <c r="F43">
        <f t="shared" si="11"/>
        <v>-6.7139121310511474E-2</v>
      </c>
    </row>
    <row r="44" spans="1:6" x14ac:dyDescent="0.2">
      <c r="A44" t="s">
        <v>41</v>
      </c>
      <c r="B44">
        <f>B24*(B14-B13)/1000</f>
        <v>5.0999999999999997E-2</v>
      </c>
      <c r="F44">
        <f t="shared" si="11"/>
        <v>-6.7139121310511474E-2</v>
      </c>
    </row>
    <row r="45" spans="1:6" x14ac:dyDescent="0.2">
      <c r="F45">
        <f t="shared" si="11"/>
        <v>-6.7139121310511474E-2</v>
      </c>
    </row>
    <row r="46" spans="1:6" x14ac:dyDescent="0.2">
      <c r="F46">
        <f t="shared" si="11"/>
        <v>-6.7139121310511474E-2</v>
      </c>
    </row>
    <row r="47" spans="1:6" x14ac:dyDescent="0.2">
      <c r="F47">
        <f t="shared" si="11"/>
        <v>-6.7139121310511474E-2</v>
      </c>
    </row>
    <row r="48" spans="1:6" x14ac:dyDescent="0.2">
      <c r="F48">
        <f t="shared" si="11"/>
        <v>-6.7139121310511474E-2</v>
      </c>
    </row>
    <row r="49" spans="6:6" x14ac:dyDescent="0.2">
      <c r="F49">
        <f t="shared" si="11"/>
        <v>-6.7139121310511474E-2</v>
      </c>
    </row>
    <row r="50" spans="6:6" x14ac:dyDescent="0.2">
      <c r="F50">
        <f t="shared" si="11"/>
        <v>-6.7139121310511474E-2</v>
      </c>
    </row>
    <row r="51" spans="6:6" x14ac:dyDescent="0.2">
      <c r="F51">
        <f t="shared" si="11"/>
        <v>-6.7139121310511474E-2</v>
      </c>
    </row>
    <row r="52" spans="6:6" x14ac:dyDescent="0.2">
      <c r="F52">
        <f t="shared" si="11"/>
        <v>-6.7139121310511474E-2</v>
      </c>
    </row>
    <row r="53" spans="6:6" x14ac:dyDescent="0.2">
      <c r="F53">
        <f t="shared" si="11"/>
        <v>-6.7139121310511474E-2</v>
      </c>
    </row>
    <row r="54" spans="6:6" x14ac:dyDescent="0.2">
      <c r="F54">
        <f t="shared" si="11"/>
        <v>-6.7139121310511474E-2</v>
      </c>
    </row>
    <row r="55" spans="6:6" x14ac:dyDescent="0.2">
      <c r="F55">
        <f t="shared" si="11"/>
        <v>-6.7139121310511474E-2</v>
      </c>
    </row>
    <row r="56" spans="6:6" x14ac:dyDescent="0.2">
      <c r="F56">
        <f t="shared" si="11"/>
        <v>-6.7139121310511474E-2</v>
      </c>
    </row>
    <row r="57" spans="6:6" x14ac:dyDescent="0.2">
      <c r="F57">
        <f t="shared" si="11"/>
        <v>-6.7139121310511474E-2</v>
      </c>
    </row>
    <row r="58" spans="6:6" x14ac:dyDescent="0.2">
      <c r="F58">
        <f t="shared" si="11"/>
        <v>-6.7139121310511474E-2</v>
      </c>
    </row>
    <row r="59" spans="6:6" x14ac:dyDescent="0.2">
      <c r="F59">
        <f t="shared" si="11"/>
        <v>-6.7139121310511474E-2</v>
      </c>
    </row>
    <row r="60" spans="6:6" x14ac:dyDescent="0.2">
      <c r="F60">
        <f t="shared" si="11"/>
        <v>-6.7139121310511474E-2</v>
      </c>
    </row>
    <row r="61" spans="6:6" x14ac:dyDescent="0.2">
      <c r="F61">
        <f t="shared" si="11"/>
        <v>-6.7139121310511474E-2</v>
      </c>
    </row>
    <row r="62" spans="6:6" x14ac:dyDescent="0.2">
      <c r="F62">
        <f t="shared" si="11"/>
        <v>-6.7139121310511474E-2</v>
      </c>
    </row>
    <row r="63" spans="6:6" x14ac:dyDescent="0.2">
      <c r="F63">
        <f t="shared" si="11"/>
        <v>-6.7139121310511474E-2</v>
      </c>
    </row>
    <row r="64" spans="6:6" x14ac:dyDescent="0.2">
      <c r="F64">
        <f t="shared" si="11"/>
        <v>-6.7139121310511474E-2</v>
      </c>
    </row>
    <row r="65" spans="6:6" x14ac:dyDescent="0.2">
      <c r="F65">
        <f t="shared" si="11"/>
        <v>-6.7139121310511474E-2</v>
      </c>
    </row>
    <row r="66" spans="6:6" x14ac:dyDescent="0.2">
      <c r="F66">
        <f t="shared" si="11"/>
        <v>-6.7139121310511474E-2</v>
      </c>
    </row>
    <row r="67" spans="6:6" x14ac:dyDescent="0.2">
      <c r="F67">
        <f t="shared" si="11"/>
        <v>-6.7139121310511474E-2</v>
      </c>
    </row>
    <row r="68" spans="6:6" x14ac:dyDescent="0.2">
      <c r="F68">
        <f t="shared" si="11"/>
        <v>-6.7139121310511474E-2</v>
      </c>
    </row>
    <row r="69" spans="6:6" x14ac:dyDescent="0.2">
      <c r="F69">
        <f t="shared" si="11"/>
        <v>-6.7139121310511474E-2</v>
      </c>
    </row>
    <row r="70" spans="6:6" x14ac:dyDescent="0.2">
      <c r="F70">
        <f t="shared" si="11"/>
        <v>-6.7139121310511474E-2</v>
      </c>
    </row>
    <row r="71" spans="6:6" x14ac:dyDescent="0.2">
      <c r="F71">
        <f t="shared" si="11"/>
        <v>-6.7139121310511474E-2</v>
      </c>
    </row>
    <row r="72" spans="6:6" x14ac:dyDescent="0.2">
      <c r="F72">
        <f t="shared" si="11"/>
        <v>-6.7139121310511474E-2</v>
      </c>
    </row>
    <row r="73" spans="6:6" x14ac:dyDescent="0.2">
      <c r="F73">
        <f t="shared" si="11"/>
        <v>-6.7139121310511474E-2</v>
      </c>
    </row>
    <row r="74" spans="6:6" x14ac:dyDescent="0.2">
      <c r="F74">
        <f t="shared" si="11"/>
        <v>-6.7139121310511474E-2</v>
      </c>
    </row>
    <row r="75" spans="6:6" x14ac:dyDescent="0.2">
      <c r="F75">
        <f t="shared" si="11"/>
        <v>-6.7139121310511474E-2</v>
      </c>
    </row>
    <row r="76" spans="6:6" x14ac:dyDescent="0.2">
      <c r="F76">
        <f t="shared" si="11"/>
        <v>-6.7139121310511474E-2</v>
      </c>
    </row>
    <row r="77" spans="6:6" x14ac:dyDescent="0.2">
      <c r="F77">
        <f t="shared" si="11"/>
        <v>-6.7139121310511474E-2</v>
      </c>
    </row>
    <row r="78" spans="6:6" x14ac:dyDescent="0.2">
      <c r="F78">
        <f t="shared" si="11"/>
        <v>-6.7139121310511474E-2</v>
      </c>
    </row>
    <row r="79" spans="6:6" x14ac:dyDescent="0.2">
      <c r="F79">
        <f t="shared" si="11"/>
        <v>-6.7139121310511474E-2</v>
      </c>
    </row>
    <row r="80" spans="6:6" x14ac:dyDescent="0.2">
      <c r="F80">
        <f t="shared" si="11"/>
        <v>-6.7139121310511474E-2</v>
      </c>
    </row>
    <row r="81" spans="6:6" x14ac:dyDescent="0.2">
      <c r="F81">
        <f t="shared" si="11"/>
        <v>-6.7139121310511474E-2</v>
      </c>
    </row>
    <row r="82" spans="6:6" x14ac:dyDescent="0.2">
      <c r="F82">
        <f t="shared" si="11"/>
        <v>-6.7139121310511474E-2</v>
      </c>
    </row>
    <row r="83" spans="6:6" x14ac:dyDescent="0.2">
      <c r="F83">
        <f t="shared" si="11"/>
        <v>-6.7139121310511474E-2</v>
      </c>
    </row>
    <row r="84" spans="6:6" x14ac:dyDescent="0.2">
      <c r="F84">
        <f t="shared" si="11"/>
        <v>-6.7139121310511474E-2</v>
      </c>
    </row>
    <row r="85" spans="6:6" x14ac:dyDescent="0.2">
      <c r="F85">
        <f t="shared" si="11"/>
        <v>-6.7139121310511474E-2</v>
      </c>
    </row>
    <row r="86" spans="6:6" x14ac:dyDescent="0.2">
      <c r="F86">
        <f t="shared" si="11"/>
        <v>-6.7139121310511474E-2</v>
      </c>
    </row>
    <row r="87" spans="6:6" x14ac:dyDescent="0.2">
      <c r="F87">
        <f t="shared" si="11"/>
        <v>-6.7139121310511474E-2</v>
      </c>
    </row>
    <row r="88" spans="6:6" x14ac:dyDescent="0.2">
      <c r="F88">
        <f t="shared" si="11"/>
        <v>-6.7139121310511474E-2</v>
      </c>
    </row>
    <row r="89" spans="6:6" x14ac:dyDescent="0.2">
      <c r="F89">
        <f t="shared" si="11"/>
        <v>-6.7139121310511474E-2</v>
      </c>
    </row>
    <row r="90" spans="6:6" x14ac:dyDescent="0.2">
      <c r="F90">
        <f t="shared" si="11"/>
        <v>-6.7139121310511474E-2</v>
      </c>
    </row>
    <row r="91" spans="6:6" x14ac:dyDescent="0.2">
      <c r="F91">
        <f t="shared" si="11"/>
        <v>-6.7139121310511474E-2</v>
      </c>
    </row>
    <row r="92" spans="6:6" x14ac:dyDescent="0.2">
      <c r="F92">
        <f t="shared" si="11"/>
        <v>-6.7139121310511474E-2</v>
      </c>
    </row>
    <row r="93" spans="6:6" x14ac:dyDescent="0.2">
      <c r="F93">
        <f t="shared" si="11"/>
        <v>-6.7139121310511474E-2</v>
      </c>
    </row>
    <row r="94" spans="6:6" x14ac:dyDescent="0.2">
      <c r="F94">
        <f t="shared" si="11"/>
        <v>-6.7139121310511474E-2</v>
      </c>
    </row>
    <row r="95" spans="6:6" x14ac:dyDescent="0.2">
      <c r="F95">
        <f t="shared" si="11"/>
        <v>-6.7139121310511474E-2</v>
      </c>
    </row>
    <row r="96" spans="6:6" x14ac:dyDescent="0.2">
      <c r="F96">
        <f t="shared" si="11"/>
        <v>-6.7139121310511474E-2</v>
      </c>
    </row>
    <row r="97" spans="6:6" x14ac:dyDescent="0.2">
      <c r="F97">
        <f t="shared" si="11"/>
        <v>-6.7139121310511474E-2</v>
      </c>
    </row>
    <row r="98" spans="6:6" x14ac:dyDescent="0.2">
      <c r="F98">
        <f t="shared" si="11"/>
        <v>-6.7139121310511474E-2</v>
      </c>
    </row>
    <row r="99" spans="6:6" x14ac:dyDescent="0.2">
      <c r="F99">
        <f t="shared" si="11"/>
        <v>-6.7139121310511474E-2</v>
      </c>
    </row>
    <row r="100" spans="6:6" x14ac:dyDescent="0.2">
      <c r="F100">
        <f t="shared" si="11"/>
        <v>-6.7139121310511474E-2</v>
      </c>
    </row>
    <row r="101" spans="6:6" x14ac:dyDescent="0.2">
      <c r="F101">
        <f t="shared" si="11"/>
        <v>-6.7139121310511474E-2</v>
      </c>
    </row>
    <row r="102" spans="6:6" x14ac:dyDescent="0.2">
      <c r="F102">
        <f t="shared" si="11"/>
        <v>-6.7139121310511474E-2</v>
      </c>
    </row>
    <row r="103" spans="6:6" x14ac:dyDescent="0.2">
      <c r="F103">
        <f t="shared" si="11"/>
        <v>-6.7139121310511474E-2</v>
      </c>
    </row>
    <row r="104" spans="6:6" x14ac:dyDescent="0.2">
      <c r="F104">
        <f t="shared" si="11"/>
        <v>-6.7139121310511474E-2</v>
      </c>
    </row>
    <row r="105" spans="6:6" x14ac:dyDescent="0.2">
      <c r="F105">
        <f t="shared" si="11"/>
        <v>-6.7139121310511474E-2</v>
      </c>
    </row>
    <row r="106" spans="6:6" x14ac:dyDescent="0.2">
      <c r="F106">
        <f t="shared" ref="F106:F169" si="12">$B$41+$B$40*E106</f>
        <v>-6.7139121310511474E-2</v>
      </c>
    </row>
    <row r="107" spans="6:6" x14ac:dyDescent="0.2">
      <c r="F107">
        <f t="shared" si="12"/>
        <v>-6.7139121310511474E-2</v>
      </c>
    </row>
    <row r="108" spans="6:6" x14ac:dyDescent="0.2">
      <c r="F108">
        <f t="shared" si="12"/>
        <v>-6.7139121310511474E-2</v>
      </c>
    </row>
    <row r="109" spans="6:6" x14ac:dyDescent="0.2">
      <c r="F109">
        <f t="shared" si="12"/>
        <v>-6.7139121310511474E-2</v>
      </c>
    </row>
    <row r="110" spans="6:6" x14ac:dyDescent="0.2">
      <c r="F110">
        <f t="shared" si="12"/>
        <v>-6.7139121310511474E-2</v>
      </c>
    </row>
    <row r="111" spans="6:6" x14ac:dyDescent="0.2">
      <c r="F111">
        <f t="shared" si="12"/>
        <v>-6.7139121310511474E-2</v>
      </c>
    </row>
    <row r="112" spans="6:6" x14ac:dyDescent="0.2">
      <c r="F112">
        <f t="shared" si="12"/>
        <v>-6.7139121310511474E-2</v>
      </c>
    </row>
    <row r="113" spans="6:6" x14ac:dyDescent="0.2">
      <c r="F113">
        <f t="shared" si="12"/>
        <v>-6.7139121310511474E-2</v>
      </c>
    </row>
    <row r="114" spans="6:6" x14ac:dyDescent="0.2">
      <c r="F114">
        <f t="shared" si="12"/>
        <v>-6.7139121310511474E-2</v>
      </c>
    </row>
    <row r="115" spans="6:6" x14ac:dyDescent="0.2">
      <c r="F115">
        <f t="shared" si="12"/>
        <v>-6.7139121310511474E-2</v>
      </c>
    </row>
    <row r="116" spans="6:6" x14ac:dyDescent="0.2">
      <c r="F116">
        <f t="shared" si="12"/>
        <v>-6.7139121310511474E-2</v>
      </c>
    </row>
    <row r="117" spans="6:6" x14ac:dyDescent="0.2">
      <c r="F117">
        <f t="shared" si="12"/>
        <v>-6.7139121310511474E-2</v>
      </c>
    </row>
    <row r="118" spans="6:6" x14ac:dyDescent="0.2">
      <c r="F118">
        <f t="shared" si="12"/>
        <v>-6.7139121310511474E-2</v>
      </c>
    </row>
    <row r="119" spans="6:6" x14ac:dyDescent="0.2">
      <c r="F119">
        <f t="shared" si="12"/>
        <v>-6.7139121310511474E-2</v>
      </c>
    </row>
    <row r="120" spans="6:6" x14ac:dyDescent="0.2">
      <c r="F120">
        <f t="shared" si="12"/>
        <v>-6.7139121310511474E-2</v>
      </c>
    </row>
    <row r="121" spans="6:6" x14ac:dyDescent="0.2">
      <c r="F121">
        <f t="shared" si="12"/>
        <v>-6.7139121310511474E-2</v>
      </c>
    </row>
    <row r="122" spans="6:6" x14ac:dyDescent="0.2">
      <c r="F122">
        <f t="shared" si="12"/>
        <v>-6.7139121310511474E-2</v>
      </c>
    </row>
    <row r="123" spans="6:6" x14ac:dyDescent="0.2">
      <c r="F123">
        <f t="shared" si="12"/>
        <v>-6.7139121310511474E-2</v>
      </c>
    </row>
    <row r="124" spans="6:6" x14ac:dyDescent="0.2">
      <c r="F124">
        <f t="shared" si="12"/>
        <v>-6.7139121310511474E-2</v>
      </c>
    </row>
    <row r="125" spans="6:6" x14ac:dyDescent="0.2">
      <c r="F125">
        <f t="shared" si="12"/>
        <v>-6.7139121310511474E-2</v>
      </c>
    </row>
    <row r="126" spans="6:6" x14ac:dyDescent="0.2">
      <c r="F126">
        <f t="shared" si="12"/>
        <v>-6.7139121310511474E-2</v>
      </c>
    </row>
    <row r="127" spans="6:6" x14ac:dyDescent="0.2">
      <c r="F127">
        <f t="shared" si="12"/>
        <v>-6.7139121310511474E-2</v>
      </c>
    </row>
    <row r="128" spans="6:6" x14ac:dyDescent="0.2">
      <c r="F128">
        <f t="shared" si="12"/>
        <v>-6.7139121310511474E-2</v>
      </c>
    </row>
    <row r="129" spans="6:6" x14ac:dyDescent="0.2">
      <c r="F129">
        <f t="shared" si="12"/>
        <v>-6.7139121310511474E-2</v>
      </c>
    </row>
    <row r="130" spans="6:6" x14ac:dyDescent="0.2">
      <c r="F130">
        <f t="shared" si="12"/>
        <v>-6.7139121310511474E-2</v>
      </c>
    </row>
    <row r="131" spans="6:6" x14ac:dyDescent="0.2">
      <c r="F131">
        <f t="shared" si="12"/>
        <v>-6.7139121310511474E-2</v>
      </c>
    </row>
    <row r="132" spans="6:6" x14ac:dyDescent="0.2">
      <c r="F132">
        <f t="shared" si="12"/>
        <v>-6.7139121310511474E-2</v>
      </c>
    </row>
    <row r="133" spans="6:6" x14ac:dyDescent="0.2">
      <c r="F133">
        <f t="shared" si="12"/>
        <v>-6.7139121310511474E-2</v>
      </c>
    </row>
    <row r="134" spans="6:6" x14ac:dyDescent="0.2">
      <c r="F134">
        <f t="shared" si="12"/>
        <v>-6.7139121310511474E-2</v>
      </c>
    </row>
    <row r="135" spans="6:6" x14ac:dyDescent="0.2">
      <c r="F135">
        <f t="shared" si="12"/>
        <v>-6.7139121310511474E-2</v>
      </c>
    </row>
    <row r="136" spans="6:6" x14ac:dyDescent="0.2">
      <c r="F136">
        <f t="shared" si="12"/>
        <v>-6.7139121310511474E-2</v>
      </c>
    </row>
    <row r="137" spans="6:6" x14ac:dyDescent="0.2">
      <c r="F137">
        <f t="shared" si="12"/>
        <v>-6.7139121310511474E-2</v>
      </c>
    </row>
    <row r="138" spans="6:6" x14ac:dyDescent="0.2">
      <c r="F138">
        <f t="shared" si="12"/>
        <v>-6.7139121310511474E-2</v>
      </c>
    </row>
    <row r="139" spans="6:6" x14ac:dyDescent="0.2">
      <c r="F139">
        <f t="shared" si="12"/>
        <v>-6.7139121310511474E-2</v>
      </c>
    </row>
    <row r="140" spans="6:6" x14ac:dyDescent="0.2">
      <c r="F140">
        <f t="shared" si="12"/>
        <v>-6.7139121310511474E-2</v>
      </c>
    </row>
    <row r="141" spans="6:6" x14ac:dyDescent="0.2">
      <c r="F141">
        <f t="shared" si="12"/>
        <v>-6.7139121310511474E-2</v>
      </c>
    </row>
    <row r="142" spans="6:6" x14ac:dyDescent="0.2">
      <c r="F142">
        <f t="shared" si="12"/>
        <v>-6.7139121310511474E-2</v>
      </c>
    </row>
    <row r="143" spans="6:6" x14ac:dyDescent="0.2">
      <c r="F143">
        <f t="shared" si="12"/>
        <v>-6.7139121310511474E-2</v>
      </c>
    </row>
    <row r="144" spans="6:6" x14ac:dyDescent="0.2">
      <c r="F144">
        <f t="shared" si="12"/>
        <v>-6.7139121310511474E-2</v>
      </c>
    </row>
    <row r="145" spans="6:6" x14ac:dyDescent="0.2">
      <c r="F145">
        <f t="shared" si="12"/>
        <v>-6.7139121310511474E-2</v>
      </c>
    </row>
    <row r="146" spans="6:6" x14ac:dyDescent="0.2">
      <c r="F146">
        <f t="shared" si="12"/>
        <v>-6.7139121310511474E-2</v>
      </c>
    </row>
    <row r="147" spans="6:6" x14ac:dyDescent="0.2">
      <c r="F147">
        <f t="shared" si="12"/>
        <v>-6.7139121310511474E-2</v>
      </c>
    </row>
    <row r="148" spans="6:6" x14ac:dyDescent="0.2">
      <c r="F148">
        <f t="shared" si="12"/>
        <v>-6.7139121310511474E-2</v>
      </c>
    </row>
    <row r="149" spans="6:6" x14ac:dyDescent="0.2">
      <c r="F149">
        <f t="shared" si="12"/>
        <v>-6.7139121310511474E-2</v>
      </c>
    </row>
    <row r="150" spans="6:6" x14ac:dyDescent="0.2">
      <c r="F150">
        <f t="shared" si="12"/>
        <v>-6.7139121310511474E-2</v>
      </c>
    </row>
    <row r="151" spans="6:6" x14ac:dyDescent="0.2">
      <c r="F151">
        <f t="shared" si="12"/>
        <v>-6.7139121310511474E-2</v>
      </c>
    </row>
    <row r="152" spans="6:6" x14ac:dyDescent="0.2">
      <c r="F152">
        <f t="shared" si="12"/>
        <v>-6.7139121310511474E-2</v>
      </c>
    </row>
    <row r="153" spans="6:6" x14ac:dyDescent="0.2">
      <c r="F153">
        <f t="shared" si="12"/>
        <v>-6.7139121310511474E-2</v>
      </c>
    </row>
    <row r="154" spans="6:6" x14ac:dyDescent="0.2">
      <c r="F154">
        <f t="shared" si="12"/>
        <v>-6.7139121310511474E-2</v>
      </c>
    </row>
    <row r="155" spans="6:6" x14ac:dyDescent="0.2">
      <c r="F155">
        <f t="shared" si="12"/>
        <v>-6.7139121310511474E-2</v>
      </c>
    </row>
    <row r="156" spans="6:6" x14ac:dyDescent="0.2">
      <c r="F156">
        <f t="shared" si="12"/>
        <v>-6.7139121310511474E-2</v>
      </c>
    </row>
    <row r="157" spans="6:6" x14ac:dyDescent="0.2">
      <c r="F157">
        <f t="shared" si="12"/>
        <v>-6.7139121310511474E-2</v>
      </c>
    </row>
    <row r="158" spans="6:6" x14ac:dyDescent="0.2">
      <c r="F158">
        <f t="shared" si="12"/>
        <v>-6.7139121310511474E-2</v>
      </c>
    </row>
    <row r="159" spans="6:6" x14ac:dyDescent="0.2">
      <c r="F159">
        <f t="shared" si="12"/>
        <v>-6.7139121310511474E-2</v>
      </c>
    </row>
    <row r="160" spans="6:6" x14ac:dyDescent="0.2">
      <c r="F160">
        <f t="shared" si="12"/>
        <v>-6.7139121310511474E-2</v>
      </c>
    </row>
    <row r="161" spans="6:6" x14ac:dyDescent="0.2">
      <c r="F161">
        <f t="shared" si="12"/>
        <v>-6.7139121310511474E-2</v>
      </c>
    </row>
    <row r="162" spans="6:6" x14ac:dyDescent="0.2">
      <c r="F162">
        <f t="shared" si="12"/>
        <v>-6.7139121310511474E-2</v>
      </c>
    </row>
    <row r="163" spans="6:6" x14ac:dyDescent="0.2">
      <c r="F163">
        <f t="shared" si="12"/>
        <v>-6.7139121310511474E-2</v>
      </c>
    </row>
    <row r="164" spans="6:6" x14ac:dyDescent="0.2">
      <c r="F164">
        <f t="shared" si="12"/>
        <v>-6.7139121310511474E-2</v>
      </c>
    </row>
    <row r="165" spans="6:6" x14ac:dyDescent="0.2">
      <c r="F165">
        <f t="shared" si="12"/>
        <v>-6.7139121310511474E-2</v>
      </c>
    </row>
    <row r="166" spans="6:6" x14ac:dyDescent="0.2">
      <c r="F166">
        <f t="shared" si="12"/>
        <v>-6.7139121310511474E-2</v>
      </c>
    </row>
    <row r="167" spans="6:6" x14ac:dyDescent="0.2">
      <c r="F167">
        <f t="shared" si="12"/>
        <v>-6.7139121310511474E-2</v>
      </c>
    </row>
    <row r="168" spans="6:6" x14ac:dyDescent="0.2">
      <c r="F168">
        <f t="shared" si="12"/>
        <v>-6.7139121310511474E-2</v>
      </c>
    </row>
    <row r="169" spans="6:6" x14ac:dyDescent="0.2">
      <c r="F169">
        <f t="shared" si="12"/>
        <v>-6.7139121310511474E-2</v>
      </c>
    </row>
    <row r="170" spans="6:6" x14ac:dyDescent="0.2">
      <c r="F170">
        <f t="shared" ref="F170:F233" si="13">$B$41+$B$40*E170</f>
        <v>-6.7139121310511474E-2</v>
      </c>
    </row>
    <row r="171" spans="6:6" x14ac:dyDescent="0.2">
      <c r="F171">
        <f t="shared" si="13"/>
        <v>-6.7139121310511474E-2</v>
      </c>
    </row>
    <row r="172" spans="6:6" x14ac:dyDescent="0.2">
      <c r="F172">
        <f t="shared" si="13"/>
        <v>-6.7139121310511474E-2</v>
      </c>
    </row>
    <row r="173" spans="6:6" x14ac:dyDescent="0.2">
      <c r="F173">
        <f t="shared" si="13"/>
        <v>-6.7139121310511474E-2</v>
      </c>
    </row>
    <row r="174" spans="6:6" x14ac:dyDescent="0.2">
      <c r="F174">
        <f t="shared" si="13"/>
        <v>-6.7139121310511474E-2</v>
      </c>
    </row>
    <row r="175" spans="6:6" x14ac:dyDescent="0.2">
      <c r="F175">
        <f t="shared" si="13"/>
        <v>-6.7139121310511474E-2</v>
      </c>
    </row>
    <row r="176" spans="6:6" x14ac:dyDescent="0.2">
      <c r="F176">
        <f t="shared" si="13"/>
        <v>-6.7139121310511474E-2</v>
      </c>
    </row>
    <row r="177" spans="6:6" x14ac:dyDescent="0.2">
      <c r="F177">
        <f t="shared" si="13"/>
        <v>-6.7139121310511474E-2</v>
      </c>
    </row>
    <row r="178" spans="6:6" x14ac:dyDescent="0.2">
      <c r="F178">
        <f t="shared" si="13"/>
        <v>-6.7139121310511474E-2</v>
      </c>
    </row>
    <row r="179" spans="6:6" x14ac:dyDescent="0.2">
      <c r="F179">
        <f t="shared" si="13"/>
        <v>-6.7139121310511474E-2</v>
      </c>
    </row>
    <row r="180" spans="6:6" x14ac:dyDescent="0.2">
      <c r="F180">
        <f t="shared" si="13"/>
        <v>-6.7139121310511474E-2</v>
      </c>
    </row>
    <row r="181" spans="6:6" x14ac:dyDescent="0.2">
      <c r="F181">
        <f t="shared" si="13"/>
        <v>-6.7139121310511474E-2</v>
      </c>
    </row>
    <row r="182" spans="6:6" x14ac:dyDescent="0.2">
      <c r="F182">
        <f t="shared" si="13"/>
        <v>-6.7139121310511474E-2</v>
      </c>
    </row>
    <row r="183" spans="6:6" x14ac:dyDescent="0.2">
      <c r="F183">
        <f t="shared" si="13"/>
        <v>-6.7139121310511474E-2</v>
      </c>
    </row>
    <row r="184" spans="6:6" x14ac:dyDescent="0.2">
      <c r="F184">
        <f t="shared" si="13"/>
        <v>-6.7139121310511474E-2</v>
      </c>
    </row>
    <row r="185" spans="6:6" x14ac:dyDescent="0.2">
      <c r="F185">
        <f t="shared" si="13"/>
        <v>-6.7139121310511474E-2</v>
      </c>
    </row>
    <row r="186" spans="6:6" x14ac:dyDescent="0.2">
      <c r="F186">
        <f t="shared" si="13"/>
        <v>-6.7139121310511474E-2</v>
      </c>
    </row>
    <row r="187" spans="6:6" x14ac:dyDescent="0.2">
      <c r="F187">
        <f t="shared" si="13"/>
        <v>-6.7139121310511474E-2</v>
      </c>
    </row>
    <row r="188" spans="6:6" x14ac:dyDescent="0.2">
      <c r="F188">
        <f t="shared" si="13"/>
        <v>-6.7139121310511474E-2</v>
      </c>
    </row>
    <row r="189" spans="6:6" x14ac:dyDescent="0.2">
      <c r="F189">
        <f t="shared" si="13"/>
        <v>-6.7139121310511474E-2</v>
      </c>
    </row>
    <row r="190" spans="6:6" x14ac:dyDescent="0.2">
      <c r="F190">
        <f t="shared" si="13"/>
        <v>-6.7139121310511474E-2</v>
      </c>
    </row>
    <row r="191" spans="6:6" x14ac:dyDescent="0.2">
      <c r="F191">
        <f t="shared" si="13"/>
        <v>-6.7139121310511474E-2</v>
      </c>
    </row>
    <row r="192" spans="6:6" x14ac:dyDescent="0.2">
      <c r="F192">
        <f t="shared" si="13"/>
        <v>-6.7139121310511474E-2</v>
      </c>
    </row>
    <row r="193" spans="6:6" x14ac:dyDescent="0.2">
      <c r="F193">
        <f t="shared" si="13"/>
        <v>-6.7139121310511474E-2</v>
      </c>
    </row>
    <row r="194" spans="6:6" x14ac:dyDescent="0.2">
      <c r="F194">
        <f t="shared" si="13"/>
        <v>-6.7139121310511474E-2</v>
      </c>
    </row>
    <row r="195" spans="6:6" x14ac:dyDescent="0.2">
      <c r="F195">
        <f t="shared" si="13"/>
        <v>-6.7139121310511474E-2</v>
      </c>
    </row>
    <row r="196" spans="6:6" x14ac:dyDescent="0.2">
      <c r="F196">
        <f t="shared" si="13"/>
        <v>-6.7139121310511474E-2</v>
      </c>
    </row>
    <row r="197" spans="6:6" x14ac:dyDescent="0.2">
      <c r="F197">
        <f t="shared" si="13"/>
        <v>-6.7139121310511474E-2</v>
      </c>
    </row>
    <row r="198" spans="6:6" x14ac:dyDescent="0.2">
      <c r="F198">
        <f t="shared" si="13"/>
        <v>-6.7139121310511474E-2</v>
      </c>
    </row>
    <row r="199" spans="6:6" x14ac:dyDescent="0.2">
      <c r="F199">
        <f t="shared" si="13"/>
        <v>-6.7139121310511474E-2</v>
      </c>
    </row>
    <row r="200" spans="6:6" x14ac:dyDescent="0.2">
      <c r="F200">
        <f t="shared" si="13"/>
        <v>-6.7139121310511474E-2</v>
      </c>
    </row>
    <row r="201" spans="6:6" x14ac:dyDescent="0.2">
      <c r="F201">
        <f t="shared" si="13"/>
        <v>-6.7139121310511474E-2</v>
      </c>
    </row>
    <row r="202" spans="6:6" x14ac:dyDescent="0.2">
      <c r="F202">
        <f t="shared" si="13"/>
        <v>-6.7139121310511474E-2</v>
      </c>
    </row>
    <row r="203" spans="6:6" x14ac:dyDescent="0.2">
      <c r="F203">
        <f t="shared" si="13"/>
        <v>-6.7139121310511474E-2</v>
      </c>
    </row>
    <row r="204" spans="6:6" x14ac:dyDescent="0.2">
      <c r="F204">
        <f t="shared" si="13"/>
        <v>-6.7139121310511474E-2</v>
      </c>
    </row>
    <row r="205" spans="6:6" x14ac:dyDescent="0.2">
      <c r="F205">
        <f t="shared" si="13"/>
        <v>-6.7139121310511474E-2</v>
      </c>
    </row>
    <row r="206" spans="6:6" x14ac:dyDescent="0.2">
      <c r="F206">
        <f t="shared" si="13"/>
        <v>-6.7139121310511474E-2</v>
      </c>
    </row>
    <row r="207" spans="6:6" x14ac:dyDescent="0.2">
      <c r="F207">
        <f t="shared" si="13"/>
        <v>-6.7139121310511474E-2</v>
      </c>
    </row>
    <row r="208" spans="6:6" x14ac:dyDescent="0.2">
      <c r="F208">
        <f t="shared" si="13"/>
        <v>-6.7139121310511474E-2</v>
      </c>
    </row>
    <row r="209" spans="6:6" x14ac:dyDescent="0.2">
      <c r="F209">
        <f t="shared" si="13"/>
        <v>-6.7139121310511474E-2</v>
      </c>
    </row>
    <row r="210" spans="6:6" x14ac:dyDescent="0.2">
      <c r="F210">
        <f t="shared" si="13"/>
        <v>-6.7139121310511474E-2</v>
      </c>
    </row>
    <row r="211" spans="6:6" x14ac:dyDescent="0.2">
      <c r="F211">
        <f t="shared" si="13"/>
        <v>-6.7139121310511474E-2</v>
      </c>
    </row>
    <row r="212" spans="6:6" x14ac:dyDescent="0.2">
      <c r="F212">
        <f t="shared" si="13"/>
        <v>-6.7139121310511474E-2</v>
      </c>
    </row>
    <row r="213" spans="6:6" x14ac:dyDescent="0.2">
      <c r="F213">
        <f t="shared" si="13"/>
        <v>-6.7139121310511474E-2</v>
      </c>
    </row>
    <row r="214" spans="6:6" x14ac:dyDescent="0.2">
      <c r="F214">
        <f t="shared" si="13"/>
        <v>-6.7139121310511474E-2</v>
      </c>
    </row>
    <row r="215" spans="6:6" x14ac:dyDescent="0.2">
      <c r="F215">
        <f t="shared" si="13"/>
        <v>-6.7139121310511474E-2</v>
      </c>
    </row>
    <row r="216" spans="6:6" x14ac:dyDescent="0.2">
      <c r="F216">
        <f t="shared" si="13"/>
        <v>-6.7139121310511474E-2</v>
      </c>
    </row>
    <row r="217" spans="6:6" x14ac:dyDescent="0.2">
      <c r="F217">
        <f t="shared" si="13"/>
        <v>-6.7139121310511474E-2</v>
      </c>
    </row>
    <row r="218" spans="6:6" x14ac:dyDescent="0.2">
      <c r="F218">
        <f t="shared" si="13"/>
        <v>-6.7139121310511474E-2</v>
      </c>
    </row>
    <row r="219" spans="6:6" x14ac:dyDescent="0.2">
      <c r="F219">
        <f t="shared" si="13"/>
        <v>-6.7139121310511474E-2</v>
      </c>
    </row>
    <row r="220" spans="6:6" x14ac:dyDescent="0.2">
      <c r="F220">
        <f t="shared" si="13"/>
        <v>-6.7139121310511474E-2</v>
      </c>
    </row>
    <row r="221" spans="6:6" x14ac:dyDescent="0.2">
      <c r="F221">
        <f t="shared" si="13"/>
        <v>-6.7139121310511474E-2</v>
      </c>
    </row>
    <row r="222" spans="6:6" x14ac:dyDescent="0.2">
      <c r="F222">
        <f t="shared" si="13"/>
        <v>-6.7139121310511474E-2</v>
      </c>
    </row>
    <row r="223" spans="6:6" x14ac:dyDescent="0.2">
      <c r="F223">
        <f t="shared" si="13"/>
        <v>-6.7139121310511474E-2</v>
      </c>
    </row>
    <row r="224" spans="6:6" x14ac:dyDescent="0.2">
      <c r="F224">
        <f t="shared" si="13"/>
        <v>-6.7139121310511474E-2</v>
      </c>
    </row>
    <row r="225" spans="6:6" x14ac:dyDescent="0.2">
      <c r="F225">
        <f t="shared" si="13"/>
        <v>-6.7139121310511474E-2</v>
      </c>
    </row>
    <row r="226" spans="6:6" x14ac:dyDescent="0.2">
      <c r="F226">
        <f t="shared" si="13"/>
        <v>-6.7139121310511474E-2</v>
      </c>
    </row>
    <row r="227" spans="6:6" x14ac:dyDescent="0.2">
      <c r="F227">
        <f t="shared" si="13"/>
        <v>-6.7139121310511474E-2</v>
      </c>
    </row>
    <row r="228" spans="6:6" x14ac:dyDescent="0.2">
      <c r="F228">
        <f t="shared" si="13"/>
        <v>-6.7139121310511474E-2</v>
      </c>
    </row>
    <row r="229" spans="6:6" x14ac:dyDescent="0.2">
      <c r="F229">
        <f t="shared" si="13"/>
        <v>-6.7139121310511474E-2</v>
      </c>
    </row>
    <row r="230" spans="6:6" x14ac:dyDescent="0.2">
      <c r="F230">
        <f t="shared" si="13"/>
        <v>-6.7139121310511474E-2</v>
      </c>
    </row>
    <row r="231" spans="6:6" x14ac:dyDescent="0.2">
      <c r="F231">
        <f t="shared" si="13"/>
        <v>-6.7139121310511474E-2</v>
      </c>
    </row>
    <row r="232" spans="6:6" x14ac:dyDescent="0.2">
      <c r="F232">
        <f t="shared" si="13"/>
        <v>-6.7139121310511474E-2</v>
      </c>
    </row>
    <row r="233" spans="6:6" x14ac:dyDescent="0.2">
      <c r="F233">
        <f t="shared" si="13"/>
        <v>-6.7139121310511474E-2</v>
      </c>
    </row>
    <row r="234" spans="6:6" x14ac:dyDescent="0.2">
      <c r="F234">
        <f t="shared" ref="F234:F248" si="14">$B$41+$B$40*E234</f>
        <v>-6.7139121310511474E-2</v>
      </c>
    </row>
    <row r="235" spans="6:6" x14ac:dyDescent="0.2">
      <c r="F235">
        <f t="shared" si="14"/>
        <v>-6.7139121310511474E-2</v>
      </c>
    </row>
    <row r="236" spans="6:6" x14ac:dyDescent="0.2">
      <c r="F236">
        <f t="shared" si="14"/>
        <v>-6.7139121310511474E-2</v>
      </c>
    </row>
    <row r="237" spans="6:6" x14ac:dyDescent="0.2">
      <c r="F237">
        <f t="shared" si="14"/>
        <v>-6.7139121310511474E-2</v>
      </c>
    </row>
    <row r="238" spans="6:6" x14ac:dyDescent="0.2">
      <c r="F238">
        <f t="shared" si="14"/>
        <v>-6.7139121310511474E-2</v>
      </c>
    </row>
    <row r="239" spans="6:6" x14ac:dyDescent="0.2">
      <c r="F239">
        <f t="shared" si="14"/>
        <v>-6.7139121310511474E-2</v>
      </c>
    </row>
    <row r="240" spans="6:6" x14ac:dyDescent="0.2">
      <c r="F240">
        <f t="shared" si="14"/>
        <v>-6.7139121310511474E-2</v>
      </c>
    </row>
    <row r="241" spans="6:6" x14ac:dyDescent="0.2">
      <c r="F241">
        <f t="shared" si="14"/>
        <v>-6.7139121310511474E-2</v>
      </c>
    </row>
    <row r="242" spans="6:6" x14ac:dyDescent="0.2">
      <c r="F242">
        <f t="shared" si="14"/>
        <v>-6.7139121310511474E-2</v>
      </c>
    </row>
    <row r="243" spans="6:6" x14ac:dyDescent="0.2">
      <c r="F243">
        <f t="shared" si="14"/>
        <v>-6.7139121310511474E-2</v>
      </c>
    </row>
    <row r="244" spans="6:6" x14ac:dyDescent="0.2">
      <c r="F244">
        <f t="shared" si="14"/>
        <v>-6.7139121310511474E-2</v>
      </c>
    </row>
    <row r="245" spans="6:6" x14ac:dyDescent="0.2">
      <c r="F245">
        <f t="shared" si="14"/>
        <v>-6.7139121310511474E-2</v>
      </c>
    </row>
    <row r="246" spans="6:6" x14ac:dyDescent="0.2">
      <c r="F246">
        <f t="shared" si="14"/>
        <v>-6.7139121310511474E-2</v>
      </c>
    </row>
    <row r="247" spans="6:6" x14ac:dyDescent="0.2">
      <c r="F247">
        <f t="shared" si="14"/>
        <v>-6.7139121310511474E-2</v>
      </c>
    </row>
    <row r="248" spans="6:6" x14ac:dyDescent="0.2">
      <c r="F248">
        <f t="shared" si="14"/>
        <v>-6.7139121310511474E-2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2026-10-29T11:01:39Z</dcterms:created>
  <dcterms:modified xsi:type="dcterms:W3CDTF">2026-10-29T14:15:25Z</dcterms:modified>
</cp:coreProperties>
</file>