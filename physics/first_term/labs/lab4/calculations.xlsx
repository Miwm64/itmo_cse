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mo_cse/physics/first_term/labs/lab2/"/>
    </mc:Choice>
  </mc:AlternateContent>
  <xr:revisionPtr revIDLastSave="0" documentId="13_ncr:1_{7DF18A5E-2927-BA45-A446-43FD28910ABB}" xr6:coauthVersionLast="47" xr6:coauthVersionMax="47" xr10:uidLastSave="{00000000-0000-0000-0000-000000000000}"/>
  <bookViews>
    <workbookView xWindow="0" yWindow="740" windowWidth="29400" windowHeight="18380" activeTab="2" xr2:uid="{5C85809A-1FFE-D64B-9DD2-0FF3932A7C0D}"/>
  </bookViews>
  <sheets>
    <sheet name="Sheet1" sheetId="1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/>
  <c r="Q5" i="4"/>
  <c r="I3" i="4"/>
  <c r="I2" i="4"/>
  <c r="R3" i="4"/>
  <c r="R2" i="4"/>
  <c r="K3" i="4"/>
  <c r="T3" i="4"/>
  <c r="G3" i="4"/>
  <c r="W3" i="4" s="1"/>
  <c r="G2" i="4"/>
  <c r="W2" i="4" s="1"/>
  <c r="T15" i="3"/>
  <c r="T11" i="3"/>
  <c r="T7" i="3"/>
  <c r="T3" i="3"/>
  <c r="W16" i="3"/>
  <c r="V16" i="3"/>
  <c r="Y15" i="3"/>
  <c r="Y16" i="3" s="1"/>
  <c r="X15" i="3"/>
  <c r="X16" i="3" s="1"/>
  <c r="W15" i="3"/>
  <c r="V15" i="3"/>
  <c r="Y14" i="3"/>
  <c r="Y17" i="3" s="1"/>
  <c r="X14" i="3"/>
  <c r="X17" i="3" s="1"/>
  <c r="W14" i="3"/>
  <c r="W17" i="3" s="1"/>
  <c r="V14" i="3"/>
  <c r="V17" i="3" s="1"/>
  <c r="K15" i="3" s="1"/>
  <c r="R15" i="3" s="1"/>
  <c r="X13" i="3"/>
  <c r="W13" i="3"/>
  <c r="V13" i="3"/>
  <c r="V12" i="3"/>
  <c r="Y11" i="3"/>
  <c r="Y12" i="3" s="1"/>
  <c r="X11" i="3"/>
  <c r="W11" i="3"/>
  <c r="V11" i="3"/>
  <c r="Y10" i="3"/>
  <c r="Y13" i="3" s="1"/>
  <c r="X10" i="3"/>
  <c r="X12" i="3" s="1"/>
  <c r="W10" i="3"/>
  <c r="W12" i="3" s="1"/>
  <c r="V10" i="3"/>
  <c r="W8" i="3"/>
  <c r="V8" i="3"/>
  <c r="Y7" i="3"/>
  <c r="Y8" i="3" s="1"/>
  <c r="X7" i="3"/>
  <c r="X8" i="3" s="1"/>
  <c r="W7" i="3"/>
  <c r="V7" i="3"/>
  <c r="Y6" i="3"/>
  <c r="Y9" i="3" s="1"/>
  <c r="X6" i="3"/>
  <c r="X9" i="3" s="1"/>
  <c r="W6" i="3"/>
  <c r="W9" i="3" s="1"/>
  <c r="V6" i="3"/>
  <c r="V9" i="3" s="1"/>
  <c r="G15" i="3"/>
  <c r="G14" i="3"/>
  <c r="G11" i="3"/>
  <c r="G10" i="3"/>
  <c r="G7" i="3"/>
  <c r="G6" i="3"/>
  <c r="R4" i="3"/>
  <c r="Q3" i="3" s="1"/>
  <c r="R3" i="3"/>
  <c r="Q2" i="3"/>
  <c r="L4" i="3"/>
  <c r="M4" i="3"/>
  <c r="N4" i="3"/>
  <c r="K4" i="3"/>
  <c r="R2" i="3"/>
  <c r="G3" i="3"/>
  <c r="W3" i="3" s="1"/>
  <c r="G2" i="3"/>
  <c r="X2" i="3" s="1"/>
  <c r="R15" i="1"/>
  <c r="R11" i="1"/>
  <c r="R7" i="1"/>
  <c r="R3" i="1"/>
  <c r="O14" i="1"/>
  <c r="P14" i="1" s="1"/>
  <c r="Q14" i="1" s="1"/>
  <c r="R14" i="1" s="1"/>
  <c r="N14" i="1"/>
  <c r="M14" i="1"/>
  <c r="P10" i="1"/>
  <c r="Q10" i="1" s="1"/>
  <c r="R10" i="1" s="1"/>
  <c r="O10" i="1"/>
  <c r="N10" i="1"/>
  <c r="M10" i="1"/>
  <c r="O6" i="1"/>
  <c r="N6" i="1"/>
  <c r="P6" i="1" s="1"/>
  <c r="Q6" i="1" s="1"/>
  <c r="R6" i="1" s="1"/>
  <c r="M6" i="1"/>
  <c r="Q3" i="1"/>
  <c r="N3" i="1"/>
  <c r="O3" i="1"/>
  <c r="P3" i="1" s="1"/>
  <c r="M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N2" i="1" s="1"/>
  <c r="L1" i="1"/>
  <c r="Y2" i="4" l="1"/>
  <c r="Y5" i="4" s="1"/>
  <c r="W5" i="4"/>
  <c r="W4" i="4"/>
  <c r="X2" i="4"/>
  <c r="X3" i="4"/>
  <c r="V2" i="4"/>
  <c r="V3" i="4"/>
  <c r="Y3" i="4"/>
  <c r="Y4" i="4" s="1"/>
  <c r="I14" i="3"/>
  <c r="I15" i="3"/>
  <c r="N14" i="3" s="1"/>
  <c r="N16" i="3" s="1"/>
  <c r="R14" i="3"/>
  <c r="K11" i="3"/>
  <c r="R11" i="3" s="1"/>
  <c r="I10" i="3"/>
  <c r="R10" i="3"/>
  <c r="I11" i="3"/>
  <c r="K10" i="3" s="1"/>
  <c r="K12" i="3" s="1"/>
  <c r="K7" i="3"/>
  <c r="R7" i="3" s="1"/>
  <c r="I6" i="3"/>
  <c r="I7" i="3" s="1"/>
  <c r="L14" i="3"/>
  <c r="L16" i="3" s="1"/>
  <c r="M14" i="3"/>
  <c r="M16" i="3" s="1"/>
  <c r="K14" i="3"/>
  <c r="K16" i="3" s="1"/>
  <c r="X5" i="3"/>
  <c r="W2" i="3"/>
  <c r="Y2" i="3"/>
  <c r="Y3" i="3"/>
  <c r="V2" i="3"/>
  <c r="V3" i="3"/>
  <c r="X3" i="3"/>
  <c r="X4" i="3" s="1"/>
  <c r="M15" i="1"/>
  <c r="S14" i="1"/>
  <c r="M11" i="1"/>
  <c r="S10" i="1"/>
  <c r="S6" i="1"/>
  <c r="M7" i="1"/>
  <c r="M2" i="1"/>
  <c r="O2" i="1"/>
  <c r="V4" i="4" l="1"/>
  <c r="V5" i="4"/>
  <c r="X4" i="4"/>
  <c r="X5" i="4"/>
  <c r="R16" i="3"/>
  <c r="Q14" i="3" s="1"/>
  <c r="M10" i="3"/>
  <c r="M12" i="3" s="1"/>
  <c r="N10" i="3"/>
  <c r="N12" i="3" s="1"/>
  <c r="M6" i="3"/>
  <c r="M8" i="3" s="1"/>
  <c r="K6" i="3"/>
  <c r="K8" i="3" s="1"/>
  <c r="R8" i="3" s="1"/>
  <c r="Q6" i="3" s="1"/>
  <c r="N6" i="3"/>
  <c r="N8" i="3" s="1"/>
  <c r="L6" i="3"/>
  <c r="L8" i="3" s="1"/>
  <c r="R6" i="3"/>
  <c r="L10" i="3"/>
  <c r="L12" i="3" s="1"/>
  <c r="R12" i="3" s="1"/>
  <c r="Q15" i="3"/>
  <c r="V4" i="3"/>
  <c r="V5" i="3"/>
  <c r="W5" i="3"/>
  <c r="W4" i="3"/>
  <c r="I2" i="3" s="1"/>
  <c r="I3" i="3" s="1"/>
  <c r="Y5" i="3"/>
  <c r="Y4" i="3"/>
  <c r="O15" i="1"/>
  <c r="P15" i="1" s="1"/>
  <c r="N15" i="1"/>
  <c r="Q15" i="1" s="1"/>
  <c r="O11" i="1"/>
  <c r="P11" i="1" s="1"/>
  <c r="N11" i="1"/>
  <c r="Q11" i="1" s="1"/>
  <c r="O7" i="1"/>
  <c r="P7" i="1" s="1"/>
  <c r="N7" i="1"/>
  <c r="Q7" i="1" s="1"/>
  <c r="P2" i="1"/>
  <c r="Q2" i="1" s="1"/>
  <c r="R2" i="1" s="1"/>
  <c r="S2" i="1" s="1"/>
  <c r="I8" i="4" l="1"/>
  <c r="Q7" i="3"/>
  <c r="Q10" i="3"/>
  <c r="Q11" i="3"/>
  <c r="L2" i="3"/>
  <c r="K2" i="3"/>
  <c r="M2" i="3"/>
  <c r="N2" i="3"/>
  <c r="K3" i="3"/>
  <c r="M2" i="4" l="1"/>
  <c r="M4" i="4" s="1"/>
  <c r="K2" i="4"/>
  <c r="K4" i="4" s="1"/>
  <c r="R4" i="4" s="1"/>
  <c r="L2" i="4"/>
  <c r="L4" i="4" s="1"/>
  <c r="N2" i="4"/>
  <c r="N4" i="4" s="1"/>
  <c r="Q2" i="4" l="1"/>
  <c r="Q3" i="4"/>
</calcChain>
</file>

<file path=xl/sharedStrings.xml><?xml version="1.0" encoding="utf-8"?>
<sst xmlns="http://schemas.openxmlformats.org/spreadsheetml/2006/main" count="91" uniqueCount="34">
  <si>
    <t>Положение груза на спице, риска</t>
  </si>
  <si>
    <t>Кол-во шайб на карте</t>
  </si>
  <si>
    <t>t1</t>
  </si>
  <si>
    <t>t2</t>
  </si>
  <si>
    <t>t3</t>
  </si>
  <si>
    <t>a</t>
  </si>
  <si>
    <t>e</t>
  </si>
  <si>
    <t>1/c^2</t>
  </si>
  <si>
    <t>M</t>
  </si>
  <si>
    <t>м/c^2</t>
  </si>
  <si>
    <t>абс e</t>
  </si>
  <si>
    <t>абс а</t>
  </si>
  <si>
    <t>отн а</t>
  </si>
  <si>
    <t>отн е</t>
  </si>
  <si>
    <t>отн M</t>
  </si>
  <si>
    <t>абс М</t>
  </si>
  <si>
    <t>1-ср</t>
  </si>
  <si>
    <t>2-ср</t>
  </si>
  <si>
    <t>3-ср</t>
  </si>
  <si>
    <t>4-ср</t>
  </si>
  <si>
    <t>b=I</t>
  </si>
  <si>
    <t>a=M_тр</t>
  </si>
  <si>
    <t>x=e_ср</t>
  </si>
  <si>
    <t>y=m_ср</t>
  </si>
  <si>
    <t>d_i</t>
  </si>
  <si>
    <t>D</t>
  </si>
  <si>
    <t>(S_a=S_I)^2</t>
  </si>
  <si>
    <t>(S_b=S_Mтр)^2</t>
  </si>
  <si>
    <t>d_i^2</t>
  </si>
  <si>
    <t>R</t>
  </si>
  <si>
    <t>R^2</t>
  </si>
  <si>
    <t>x</t>
  </si>
  <si>
    <t>y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</si>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</sst>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 x14ac:knownFonts="1">
    <font>
      <sz val="12"/>
      <color theme="1"/>
      <name val="Aptos Narrow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quotePrefix="1" applyNumberFormat="1"/>
    <xf numFmtId="0" fontId="0" fillId="0" borderId="0" xfId="0" quotePrefix="1"/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4E43-2E75-1B44-B789-DD2E4921BA47}">
  <dimension ref="A1:AR18"/>
  <sheetViews>
    <sheetView topLeftCell="G1" zoomScale="141" workbookViewId="0">
      <selection activeCell="I2" sqref="I2"/>
    </sheetView>
  </sheetViews>
  <sheetFormatPr baseColWidth="10" defaultRowHeight="16" x14ac:dyDescent="0.2"/>
  <cols>
    <col min="1" max="2" width="10.83203125" style="3"/>
    <col min="3" max="5" width="11.33203125" style="3" bestFit="1" customWidth="1"/>
    <col min="6" max="6" width="11.33203125" style="3" customWidth="1"/>
    <col min="7" max="7" width="31.1640625" style="4" customWidth="1"/>
    <col min="8" max="8" width="33.5" style="4" customWidth="1"/>
    <col min="9" max="11" width="18" style="4" customWidth="1"/>
    <col min="12" max="12" width="45.6640625" style="4" customWidth="1"/>
    <col min="13" max="13" width="30.5" style="4" customWidth="1"/>
    <col min="14" max="14" width="19.83203125" style="4" customWidth="1"/>
    <col min="15" max="16" width="13.5" style="4" bestFit="1" customWidth="1"/>
    <col min="17" max="17" width="13.1640625" style="4" bestFit="1" customWidth="1"/>
    <col min="18" max="19" width="12.83203125" style="4" bestFit="1" customWidth="1"/>
    <col min="20" max="44" width="10.83203125" style="4"/>
    <col min="45" max="16384" width="10.83203125" style="3"/>
  </cols>
  <sheetData>
    <row r="1" spans="1:19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5" t="s">
        <v>5</v>
      </c>
      <c r="H1" s="5" t="s">
        <v>6</v>
      </c>
      <c r="I1" s="5" t="s">
        <v>8</v>
      </c>
      <c r="J1" s="5"/>
      <c r="K1" s="5"/>
      <c r="L1" s="4">
        <f>SUM(C2:E17)/COUNT(C2:E17)</f>
        <v>4.1433333333333335</v>
      </c>
    </row>
    <row r="2" spans="1:19" ht="19" x14ac:dyDescent="0.2">
      <c r="A2" s="2">
        <v>1</v>
      </c>
      <c r="B2" s="2">
        <v>1</v>
      </c>
      <c r="C2" s="2">
        <v>4.5199999999999996</v>
      </c>
      <c r="D2" s="2">
        <v>4.76</v>
      </c>
      <c r="E2" s="2">
        <v>4.49</v>
      </c>
      <c r="F2" s="2"/>
      <c r="G2" s="6">
        <f>2*700/(L2^2)/1000</f>
        <v>6.6451174999169374E-2</v>
      </c>
      <c r="H2" s="6">
        <f>2*G2/46*1000</f>
        <v>2.8891815217030161</v>
      </c>
      <c r="I2" s="6">
        <f>(47 + 220 * B2)/1000*(46/2)/1000*(9.82-G2)</f>
        <v>5.9896543334330102E-2</v>
      </c>
      <c r="J2" s="6"/>
      <c r="K2" s="6"/>
      <c r="L2" s="4">
        <f>SUM(C2:E2)/3</f>
        <v>4.59</v>
      </c>
      <c r="M2" s="4">
        <f>($L$2-C2)^2</f>
        <v>4.9000000000000397E-3</v>
      </c>
      <c r="N2" s="4">
        <f t="shared" ref="N2:O2" si="0">($L$2-D2)^2</f>
        <v>2.8899999999999974E-2</v>
      </c>
      <c r="O2" s="4">
        <f t="shared" si="0"/>
        <v>9.9999999999999291E-3</v>
      </c>
      <c r="P2" s="4">
        <f>SQRT(SUM(M2:O2)/6)</f>
        <v>8.5440037453175258E-2</v>
      </c>
      <c r="Q2" s="4">
        <f>P2*4.3</f>
        <v>0.36739216104865358</v>
      </c>
      <c r="R2" s="4">
        <f>SQRT(Q2*Q2+(2/3*0.01)^2)</f>
        <v>0.36745264245130183</v>
      </c>
      <c r="S2" s="4">
        <f>R2/L2</f>
        <v>8.0055041928388193E-2</v>
      </c>
    </row>
    <row r="3" spans="1:19" ht="19" x14ac:dyDescent="0.2">
      <c r="A3" s="2">
        <v>1</v>
      </c>
      <c r="B3" s="2">
        <v>2</v>
      </c>
      <c r="C3" s="2">
        <v>3.41</v>
      </c>
      <c r="D3" s="2">
        <v>3.3</v>
      </c>
      <c r="E3" s="2">
        <v>3.41</v>
      </c>
      <c r="F3" s="2"/>
      <c r="G3" s="6">
        <f t="shared" ref="G3:G17" si="1">2*700/(L3^2)/1000</f>
        <v>0.12302957396616099</v>
      </c>
      <c r="H3" s="6">
        <f t="shared" ref="H3:H17" si="2">2*G3/46*1000</f>
        <v>5.3491119115722174</v>
      </c>
      <c r="I3" s="6">
        <f t="shared" ref="I3:I17" si="3">(47 + 220 * B3)/1000*(46/2)/1000*(9.82-G3)</f>
        <v>0.10861576574200504</v>
      </c>
      <c r="J3" s="6"/>
      <c r="K3" s="6"/>
      <c r="L3" s="4">
        <f t="shared" ref="L3:L17" si="4">SUM(C3:E3)/3</f>
        <v>3.3733333333333335</v>
      </c>
      <c r="M3" s="4">
        <f>SQRT((0.001/0.7)^2 + (2*R2/L2)^2)</f>
        <v>0.16011645689606829</v>
      </c>
      <c r="N3" s="4">
        <f>G2*M3</f>
        <v>1.0639926697447594E-2</v>
      </c>
      <c r="O3" s="4">
        <f>SQRT((M3)^2 + (0.0005 / 0.046)^2)</f>
        <v>0.16048497505051873</v>
      </c>
      <c r="P3" s="4">
        <f>H2*O3</f>
        <v>0.46367022442692829</v>
      </c>
      <c r="Q3" s="4">
        <f>SQRT((0.0005/0.267)^2 + (0.0005 / 0.046)^2 + (0 + N3^2) / (9.82 - G2)^2)</f>
        <v>1.1083515420043348E-2</v>
      </c>
      <c r="R3" s="4">
        <f>I2*Q3</f>
        <v>6.6386426165334223E-4</v>
      </c>
    </row>
    <row r="4" spans="1:19" ht="19" x14ac:dyDescent="0.2">
      <c r="A4" s="2">
        <v>1</v>
      </c>
      <c r="B4" s="2">
        <v>3</v>
      </c>
      <c r="C4" s="2">
        <v>2.73</v>
      </c>
      <c r="D4" s="2">
        <v>2.99</v>
      </c>
      <c r="E4" s="2">
        <v>2.9</v>
      </c>
      <c r="F4" s="2"/>
      <c r="G4" s="6">
        <f t="shared" si="1"/>
        <v>0.16957273055162278</v>
      </c>
      <c r="H4" s="6">
        <f t="shared" si="2"/>
        <v>7.3727274152879474</v>
      </c>
      <c r="I4" s="6">
        <f t="shared" si="3"/>
        <v>0.15692559782850005</v>
      </c>
      <c r="J4" s="6"/>
      <c r="K4" s="6"/>
      <c r="L4" s="4">
        <f t="shared" si="4"/>
        <v>2.8733333333333335</v>
      </c>
      <c r="M4" s="4" t="s">
        <v>12</v>
      </c>
      <c r="N4" s="4" t="s">
        <v>11</v>
      </c>
      <c r="O4" s="4" t="s">
        <v>13</v>
      </c>
      <c r="P4" s="4" t="s">
        <v>10</v>
      </c>
      <c r="Q4" s="4" t="s">
        <v>14</v>
      </c>
      <c r="R4" s="4" t="s">
        <v>15</v>
      </c>
    </row>
    <row r="5" spans="1:19" ht="19" x14ac:dyDescent="0.2">
      <c r="A5" s="2">
        <v>1</v>
      </c>
      <c r="B5" s="2">
        <v>4</v>
      </c>
      <c r="C5" s="2">
        <v>2.37</v>
      </c>
      <c r="D5" s="2">
        <v>2.35</v>
      </c>
      <c r="E5" s="2">
        <v>2.2200000000000002</v>
      </c>
      <c r="F5" s="2"/>
      <c r="G5" s="6">
        <f t="shared" si="1"/>
        <v>0.26160835153518414</v>
      </c>
      <c r="H5" s="6">
        <f t="shared" si="2"/>
        <v>11.374276153703658</v>
      </c>
      <c r="I5" s="6">
        <f t="shared" si="3"/>
        <v>0.20379446833691839</v>
      </c>
      <c r="J5" s="6"/>
      <c r="K5" s="6"/>
      <c r="L5" s="4">
        <f t="shared" si="4"/>
        <v>2.3133333333333339</v>
      </c>
    </row>
    <row r="6" spans="1:19" ht="19" x14ac:dyDescent="0.2">
      <c r="A6" s="2">
        <v>2</v>
      </c>
      <c r="B6" s="2">
        <v>1</v>
      </c>
      <c r="C6" s="2">
        <v>5.37</v>
      </c>
      <c r="D6" s="2">
        <v>5.21</v>
      </c>
      <c r="E6" s="2">
        <v>5.51</v>
      </c>
      <c r="F6" s="2"/>
      <c r="G6" s="6">
        <f t="shared" si="1"/>
        <v>4.8669676203734358E-2</v>
      </c>
      <c r="H6" s="6">
        <f t="shared" si="2"/>
        <v>2.1160728784232332</v>
      </c>
      <c r="I6" s="6">
        <f t="shared" si="3"/>
        <v>6.0005739518432862E-2</v>
      </c>
      <c r="J6" s="6"/>
      <c r="K6" s="6"/>
      <c r="L6" s="4">
        <f t="shared" si="4"/>
        <v>5.3633333333333333</v>
      </c>
      <c r="M6" s="4">
        <f>(L6-C6)^2</f>
        <v>4.44444444444465E-5</v>
      </c>
      <c r="N6" s="4">
        <f>(L6-D6)^2</f>
        <v>2.3511111111111108E-2</v>
      </c>
      <c r="O6" s="4">
        <f>(L6-E6)^2</f>
        <v>2.1511111111111061E-2</v>
      </c>
      <c r="P6" s="4">
        <f>SQRT(SUM(M6:O6)/6)</f>
        <v>8.6666666666666614E-2</v>
      </c>
      <c r="Q6" s="4">
        <f>P6*4.3</f>
        <v>0.37266666666666642</v>
      </c>
      <c r="R6" s="4">
        <f>SQRT(Q6*Q6+(2/3*0.01)^2)</f>
        <v>0.37272629218890463</v>
      </c>
      <c r="S6" s="4">
        <f>R6/L6</f>
        <v>6.9495268897869111E-2</v>
      </c>
    </row>
    <row r="7" spans="1:19" ht="19" x14ac:dyDescent="0.2">
      <c r="A7" s="2">
        <v>2</v>
      </c>
      <c r="B7" s="2">
        <v>2</v>
      </c>
      <c r="C7" s="2">
        <v>3.98</v>
      </c>
      <c r="D7" s="2">
        <v>3.81</v>
      </c>
      <c r="E7" s="2">
        <v>3.83</v>
      </c>
      <c r="F7" s="2"/>
      <c r="G7" s="6">
        <f t="shared" si="1"/>
        <v>9.3316467245919979E-2</v>
      </c>
      <c r="H7" s="6">
        <f t="shared" si="2"/>
        <v>4.0572377063443463</v>
      </c>
      <c r="I7" s="6">
        <f t="shared" si="3"/>
        <v>0.10894858225037846</v>
      </c>
      <c r="J7" s="6"/>
      <c r="K7" s="6"/>
      <c r="L7" s="4">
        <f t="shared" si="4"/>
        <v>3.8733333333333335</v>
      </c>
      <c r="M7" s="4">
        <f>SQRT((0.001/0.7)^2 + (2*R6/L6)^2)</f>
        <v>0.13899787916754364</v>
      </c>
      <c r="N7" s="4">
        <f>G6*M7</f>
        <v>6.7649817720901425E-3</v>
      </c>
      <c r="O7" s="4">
        <f>SQRT((M7)^2 + (0.0005 / 0.046)^2)</f>
        <v>0.13942222871941973</v>
      </c>
      <c r="P7" s="4">
        <f>H6*O7</f>
        <v>0.29502759684248486</v>
      </c>
      <c r="Q7" s="4">
        <f>SQRT((0.0005/0.267)^2 + (0.0005 / 0.046)^2 + (0 + N7^2) / (9.82 - G6)^2)</f>
        <v>1.1051408089412696E-2</v>
      </c>
      <c r="R7" s="4">
        <f>I6*Q7</f>
        <v>6.6314791512520001E-4</v>
      </c>
    </row>
    <row r="8" spans="1:19" ht="19" x14ac:dyDescent="0.2">
      <c r="A8" s="2">
        <v>2</v>
      </c>
      <c r="B8" s="2">
        <v>3</v>
      </c>
      <c r="C8" s="2">
        <v>3.14</v>
      </c>
      <c r="D8" s="2">
        <v>3.21</v>
      </c>
      <c r="E8" s="2">
        <v>3.37</v>
      </c>
      <c r="F8" s="2"/>
      <c r="G8" s="6">
        <f t="shared" si="1"/>
        <v>0.13336381649138851</v>
      </c>
      <c r="H8" s="6">
        <f t="shared" si="2"/>
        <v>5.7984268039734133</v>
      </c>
      <c r="I8" s="6">
        <f t="shared" si="3"/>
        <v>0.1575143909800335</v>
      </c>
      <c r="J8" s="6"/>
      <c r="K8" s="6"/>
      <c r="L8" s="4">
        <f t="shared" si="4"/>
        <v>3.2399999999999998</v>
      </c>
    </row>
    <row r="9" spans="1:19" ht="19" x14ac:dyDescent="0.2">
      <c r="A9" s="2">
        <v>2</v>
      </c>
      <c r="B9" s="2">
        <v>4</v>
      </c>
      <c r="C9" s="2">
        <v>2.86</v>
      </c>
      <c r="D9" s="2">
        <v>2.78</v>
      </c>
      <c r="E9" s="2">
        <v>2.6</v>
      </c>
      <c r="F9" s="2"/>
      <c r="G9" s="6">
        <f t="shared" si="1"/>
        <v>0.18557356961070789</v>
      </c>
      <c r="H9" s="6">
        <f t="shared" si="2"/>
        <v>8.0684160700307785</v>
      </c>
      <c r="I9" s="6">
        <f t="shared" si="3"/>
        <v>0.20541560592233013</v>
      </c>
      <c r="J9" s="6"/>
      <c r="K9" s="6"/>
      <c r="L9" s="4">
        <f t="shared" si="4"/>
        <v>2.7466666666666666</v>
      </c>
    </row>
    <row r="10" spans="1:19" ht="19" x14ac:dyDescent="0.2">
      <c r="A10" s="2">
        <v>3</v>
      </c>
      <c r="B10" s="2">
        <v>1</v>
      </c>
      <c r="C10" s="2">
        <v>6.04</v>
      </c>
      <c r="D10" s="2">
        <v>6.02</v>
      </c>
      <c r="E10" s="2">
        <v>6.36</v>
      </c>
      <c r="F10" s="2"/>
      <c r="G10" s="6">
        <f t="shared" si="1"/>
        <v>3.713567252702947E-2</v>
      </c>
      <c r="H10" s="6">
        <f t="shared" si="2"/>
        <v>1.6145944576969335</v>
      </c>
      <c r="I10" s="6">
        <f t="shared" si="3"/>
        <v>6.0076569835011515E-2</v>
      </c>
      <c r="J10" s="6"/>
      <c r="K10" s="6"/>
      <c r="L10" s="4">
        <f t="shared" si="4"/>
        <v>6.14</v>
      </c>
      <c r="M10" s="4">
        <f>(L10-C10)^2</f>
        <v>9.9999999999999291E-3</v>
      </c>
      <c r="N10" s="4">
        <f>(L10-D10)^2</f>
        <v>1.4400000000000026E-2</v>
      </c>
      <c r="O10" s="4">
        <f>(L10-E10)^2</f>
        <v>4.8400000000000283E-2</v>
      </c>
      <c r="P10" s="4">
        <f>SQRT(SUM(M10:O10)/6)</f>
        <v>0.11015141094572221</v>
      </c>
      <c r="Q10" s="4">
        <f>P10*4.3</f>
        <v>0.47365106706660548</v>
      </c>
      <c r="R10" s="4">
        <f>SQRT(Q10*Q10+(2/3*0.01)^2)</f>
        <v>0.47369798160619014</v>
      </c>
      <c r="S10" s="4">
        <f>R10/L10</f>
        <v>7.7149508404916967E-2</v>
      </c>
    </row>
    <row r="11" spans="1:19" ht="19" x14ac:dyDescent="0.2">
      <c r="A11" s="2">
        <v>3</v>
      </c>
      <c r="B11" s="2">
        <v>2</v>
      </c>
      <c r="C11" s="2">
        <v>4.53</v>
      </c>
      <c r="D11" s="2">
        <v>4.3099999999999996</v>
      </c>
      <c r="E11" s="2">
        <v>4.3499999999999996</v>
      </c>
      <c r="F11" s="2"/>
      <c r="G11" s="6">
        <f t="shared" si="1"/>
        <v>7.2423740962120661E-2</v>
      </c>
      <c r="H11" s="6">
        <f t="shared" si="2"/>
        <v>3.1488583027008983</v>
      </c>
      <c r="I11" s="6">
        <f t="shared" si="3"/>
        <v>0.1091826016774833</v>
      </c>
      <c r="J11" s="6"/>
      <c r="K11" s="6"/>
      <c r="L11" s="4">
        <f t="shared" si="4"/>
        <v>4.3966666666666665</v>
      </c>
      <c r="M11" s="4">
        <f>SQRT((0.001/0.7)^2 + (2*R10/L10)^2)</f>
        <v>0.1543056298545453</v>
      </c>
      <c r="N11" s="4">
        <f>G10*M11</f>
        <v>5.7302433393554165E-3</v>
      </c>
      <c r="O11" s="4">
        <f>SQRT((M11)^2 + (0.0005 / 0.046)^2)</f>
        <v>0.15468799194773675</v>
      </c>
      <c r="P11" s="4">
        <f>H10*O11</f>
        <v>0.24975837447108365</v>
      </c>
      <c r="Q11" s="4">
        <f>SQRT((0.0005/0.267)^2 + (0.0005 / 0.046)^2 + (0 + N11^2) / (9.82 - G10)^2)</f>
        <v>1.104524310061725E-2</v>
      </c>
      <c r="R11" s="4">
        <f>I10*Q11</f>
        <v>6.6356031847891132E-4</v>
      </c>
    </row>
    <row r="12" spans="1:19" ht="19" x14ac:dyDescent="0.2">
      <c r="A12" s="2">
        <v>3</v>
      </c>
      <c r="B12" s="2">
        <v>3</v>
      </c>
      <c r="C12" s="2">
        <v>3.76</v>
      </c>
      <c r="D12" s="2">
        <v>4.01</v>
      </c>
      <c r="E12" s="2">
        <v>3.81</v>
      </c>
      <c r="F12" s="2"/>
      <c r="G12" s="6">
        <f t="shared" si="1"/>
        <v>9.396225402024215E-2</v>
      </c>
      <c r="H12" s="6">
        <f t="shared" si="2"/>
        <v>4.085315392184441</v>
      </c>
      <c r="I12" s="6">
        <f t="shared" si="3"/>
        <v>0.15815509978737682</v>
      </c>
      <c r="J12" s="6"/>
      <c r="K12" s="6"/>
      <c r="L12" s="4">
        <f t="shared" si="4"/>
        <v>3.86</v>
      </c>
    </row>
    <row r="13" spans="1:19" ht="19" x14ac:dyDescent="0.2">
      <c r="A13" s="2">
        <v>3</v>
      </c>
      <c r="B13" s="2">
        <v>4</v>
      </c>
      <c r="C13" s="2">
        <v>3.3</v>
      </c>
      <c r="D13" s="2">
        <v>3.31</v>
      </c>
      <c r="E13" s="2">
        <v>3.35</v>
      </c>
      <c r="F13" s="2"/>
      <c r="G13" s="6">
        <f t="shared" si="1"/>
        <v>0.12701408041805778</v>
      </c>
      <c r="H13" s="6">
        <f t="shared" si="2"/>
        <v>5.5223513225242513</v>
      </c>
      <c r="I13" s="6">
        <f t="shared" si="3"/>
        <v>0.20666415279140665</v>
      </c>
      <c r="J13" s="6"/>
      <c r="K13" s="6"/>
      <c r="L13" s="4">
        <f t="shared" si="4"/>
        <v>3.32</v>
      </c>
    </row>
    <row r="14" spans="1:19" ht="19" x14ac:dyDescent="0.2">
      <c r="A14" s="2">
        <v>4</v>
      </c>
      <c r="B14" s="2">
        <v>1</v>
      </c>
      <c r="C14" s="2">
        <v>7.31</v>
      </c>
      <c r="D14" s="2">
        <v>6.7</v>
      </c>
      <c r="E14" s="2">
        <v>6.81</v>
      </c>
      <c r="F14" s="2"/>
      <c r="G14" s="6">
        <f t="shared" si="1"/>
        <v>2.9067594615020471E-2</v>
      </c>
      <c r="H14" s="6">
        <f t="shared" si="2"/>
        <v>1.263808461522629</v>
      </c>
      <c r="I14" s="6">
        <f t="shared" si="3"/>
        <v>6.0126115901469164E-2</v>
      </c>
      <c r="J14" s="6"/>
      <c r="K14" s="6"/>
      <c r="L14" s="4">
        <f t="shared" si="4"/>
        <v>6.94</v>
      </c>
      <c r="M14" s="4">
        <f>(L14-C14)^2</f>
        <v>0.13689999999999941</v>
      </c>
      <c r="N14" s="4">
        <f>(L14-D14)^2</f>
        <v>5.7600000000000103E-2</v>
      </c>
      <c r="O14" s="4">
        <f>(L14-E14)^2</f>
        <v>1.6900000000000203E-2</v>
      </c>
      <c r="P14" s="4">
        <f>SQRT(SUM(M14:O14)/6)</f>
        <v>0.18770544300401437</v>
      </c>
      <c r="Q14" s="4">
        <f>P14*4.3</f>
        <v>0.80713340491726171</v>
      </c>
      <c r="R14" s="4">
        <f>SQRT(Q14*Q14+(2/3*0.01)^2)</f>
        <v>0.80716093672685663</v>
      </c>
      <c r="S14" s="4">
        <f>R14/L14</f>
        <v>0.11630561047937414</v>
      </c>
    </row>
    <row r="15" spans="1:19" ht="19" x14ac:dyDescent="0.2">
      <c r="A15" s="2">
        <v>4</v>
      </c>
      <c r="B15" s="2">
        <v>2</v>
      </c>
      <c r="C15" s="2">
        <v>5.14</v>
      </c>
      <c r="D15" s="2">
        <v>5.26</v>
      </c>
      <c r="E15" s="2">
        <v>5.1100000000000003</v>
      </c>
      <c r="F15" s="2"/>
      <c r="G15" s="6">
        <f t="shared" si="1"/>
        <v>5.2377763394677694E-2</v>
      </c>
      <c r="H15" s="6">
        <f t="shared" si="2"/>
        <v>2.2772940606381606</v>
      </c>
      <c r="I15" s="6">
        <f t="shared" si="3"/>
        <v>0.10940713667221623</v>
      </c>
      <c r="J15" s="6"/>
      <c r="K15" s="6"/>
      <c r="L15" s="4">
        <f t="shared" si="4"/>
        <v>5.169999999999999</v>
      </c>
      <c r="M15" s="4">
        <f>SQRT((0.001/0.7)^2 + (2*R14/L14)^2)</f>
        <v>0.23261560767120967</v>
      </c>
      <c r="N15" s="4">
        <f>G14*M15</f>
        <v>6.7615761849133685E-3</v>
      </c>
      <c r="O15" s="4">
        <f>SQRT((M15)^2 + (0.0005 / 0.046)^2)</f>
        <v>0.2328694234549939</v>
      </c>
      <c r="P15" s="4">
        <f>H14*O15</f>
        <v>0.29430234779231745</v>
      </c>
      <c r="Q15" s="4">
        <f>SQRT((0.0005/0.267)^2 + (0.0005 / 0.046)^2 + (0 + N15^2) / (9.82 - G14)^2)</f>
        <v>1.1051299601281714E-2</v>
      </c>
      <c r="R15" s="4">
        <f>I14*Q15</f>
        <v>6.6447172068852429E-4</v>
      </c>
    </row>
    <row r="16" spans="1:19" ht="19" x14ac:dyDescent="0.2">
      <c r="A16" s="2">
        <v>4</v>
      </c>
      <c r="B16" s="2">
        <v>3</v>
      </c>
      <c r="C16" s="2">
        <v>4.25</v>
      </c>
      <c r="D16" s="2">
        <v>4.58</v>
      </c>
      <c r="E16" s="2">
        <v>4.38</v>
      </c>
      <c r="F16" s="2"/>
      <c r="G16" s="6">
        <f t="shared" si="1"/>
        <v>7.2204607226993525E-2</v>
      </c>
      <c r="H16" s="6">
        <f t="shared" si="2"/>
        <v>3.1393307489997189</v>
      </c>
      <c r="I16" s="6">
        <f t="shared" si="3"/>
        <v>0.15850890088188185</v>
      </c>
      <c r="J16" s="6"/>
      <c r="K16" s="6"/>
      <c r="L16" s="4">
        <f t="shared" si="4"/>
        <v>4.4033333333333333</v>
      </c>
    </row>
    <row r="17" spans="1:12" ht="19" x14ac:dyDescent="0.2">
      <c r="A17" s="2">
        <v>4</v>
      </c>
      <c r="B17" s="2">
        <v>4</v>
      </c>
      <c r="C17" s="2">
        <v>3.66</v>
      </c>
      <c r="D17" s="2">
        <v>3.63</v>
      </c>
      <c r="E17" s="2">
        <v>3.78</v>
      </c>
      <c r="F17" s="2"/>
      <c r="G17" s="6">
        <f t="shared" si="1"/>
        <v>0.10281945637884563</v>
      </c>
      <c r="H17" s="6">
        <f t="shared" si="2"/>
        <v>4.470411146906331</v>
      </c>
      <c r="I17" s="6">
        <f t="shared" si="3"/>
        <v>0.20718000637054665</v>
      </c>
      <c r="J17" s="6"/>
      <c r="K17" s="6"/>
      <c r="L17" s="4">
        <f t="shared" si="4"/>
        <v>3.69</v>
      </c>
    </row>
    <row r="18" spans="1:12" x14ac:dyDescent="0.2">
      <c r="G18" s="7" t="s">
        <v>9</v>
      </c>
      <c r="H18" s="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FB72-15A9-4043-905F-A6AB851A1C68}">
  <dimension ref="A1:Y17"/>
  <sheetViews>
    <sheetView topLeftCell="D1" zoomScale="166" zoomScaleNormal="139" workbookViewId="0">
      <selection activeCell="I14" activeCellId="3" sqref="I2 I6 I10 I14"/>
    </sheetView>
  </sheetViews>
  <sheetFormatPr baseColWidth="10" defaultRowHeight="16" x14ac:dyDescent="0.2"/>
  <cols>
    <col min="3" max="3" width="19.5" customWidth="1"/>
    <col min="4" max="4" width="19.6640625" customWidth="1"/>
    <col min="5" max="5" width="20.83203125" customWidth="1"/>
    <col min="7" max="7" width="11" bestFit="1" customWidth="1"/>
    <col min="9" max="9" width="20.83203125" customWidth="1"/>
    <col min="11" max="11" width="12.33203125" bestFit="1" customWidth="1"/>
    <col min="12" max="14" width="11" bestFit="1" customWidth="1"/>
    <col min="16" max="16" width="14.33203125" customWidth="1"/>
    <col min="17" max="17" width="15.33203125" customWidth="1"/>
    <col min="18" max="18" width="13.5" bestFit="1" customWidth="1"/>
    <col min="19" max="19" width="19.1640625" customWidth="1"/>
    <col min="20" max="20" width="15.83203125" style="9" customWidth="1"/>
    <col min="21" max="21" width="22.6640625" style="9" customWidth="1"/>
    <col min="22" max="22" width="12.83203125" bestFit="1" customWidth="1"/>
    <col min="23" max="23" width="10.83203125" customWidth="1"/>
    <col min="24" max="25" width="13.33203125" bestFit="1" customWidth="1"/>
  </cols>
  <sheetData>
    <row r="1" spans="1:25" ht="19" x14ac:dyDescent="0.2">
      <c r="A1" s="1" t="s">
        <v>0</v>
      </c>
      <c r="B1" s="1" t="s">
        <v>1</v>
      </c>
      <c r="C1" s="5" t="s">
        <v>5</v>
      </c>
      <c r="D1" s="5" t="s">
        <v>6</v>
      </c>
      <c r="E1" s="5" t="s">
        <v>8</v>
      </c>
      <c r="K1">
        <v>1</v>
      </c>
      <c r="L1">
        <v>2</v>
      </c>
      <c r="M1">
        <v>3</v>
      </c>
      <c r="N1">
        <v>4</v>
      </c>
      <c r="V1" t="s">
        <v>16</v>
      </c>
      <c r="W1" t="s">
        <v>17</v>
      </c>
      <c r="X1" t="s">
        <v>18</v>
      </c>
      <c r="Y1" t="s">
        <v>19</v>
      </c>
    </row>
    <row r="2" spans="1:25" ht="19" x14ac:dyDescent="0.2">
      <c r="A2" s="2">
        <v>1</v>
      </c>
      <c r="B2" s="2">
        <v>1</v>
      </c>
      <c r="C2" s="6">
        <v>6.6451174999169374E-2</v>
      </c>
      <c r="D2" s="6">
        <v>2.8891815217030161</v>
      </c>
      <c r="E2" s="6">
        <v>5.9896543334330102E-2</v>
      </c>
      <c r="F2" s="5" t="s">
        <v>22</v>
      </c>
      <c r="G2">
        <f>SUM(D2:D5)/4</f>
        <v>6.74632425056671</v>
      </c>
      <c r="H2" t="s">
        <v>20</v>
      </c>
      <c r="I2">
        <f>SUM(V4:Y4)/SUM(V5:Y5)</f>
        <v>1.704605732589597E-2</v>
      </c>
      <c r="J2" t="s">
        <v>24</v>
      </c>
      <c r="K2">
        <f>E2-(I3+I2*D2)</f>
        <v>-6.6624744057349611E-3</v>
      </c>
      <c r="L2">
        <f>E3-(I3+I2*D3)</f>
        <v>1.246335585159547E-4</v>
      </c>
      <c r="M2">
        <f>E4-(I3+I2*D4)</f>
        <v>1.393979976310078E-2</v>
      </c>
      <c r="N2">
        <f>E5-(I3+I2*D5)</f>
        <v>-7.4019589158817733E-3</v>
      </c>
      <c r="P2" s="8" t="s">
        <v>26</v>
      </c>
      <c r="Q2">
        <f>R2*R4</f>
        <v>2.0954751076884527E-4</v>
      </c>
      <c r="R2">
        <f>(1/4+G2*G2/K3)</f>
        <v>1.4278676495103924</v>
      </c>
      <c r="S2" s="8" t="s">
        <v>29</v>
      </c>
      <c r="T2" s="11">
        <v>7.6999999999999999E-2</v>
      </c>
      <c r="U2" s="10"/>
      <c r="V2" s="4">
        <f>$G2-D2</f>
        <v>3.8571427288636939</v>
      </c>
      <c r="W2" s="4">
        <f>$G2-D3</f>
        <v>1.3972123389944926</v>
      </c>
      <c r="X2" s="4">
        <f>$G2-D4</f>
        <v>-0.62640316472123736</v>
      </c>
      <c r="Y2" s="4">
        <f>$G2-D5</f>
        <v>-4.6279519031369478</v>
      </c>
    </row>
    <row r="3" spans="1:25" ht="19" x14ac:dyDescent="0.2">
      <c r="A3" s="2">
        <v>1</v>
      </c>
      <c r="B3" s="2">
        <v>2</v>
      </c>
      <c r="C3" s="6">
        <v>0.12302957396616099</v>
      </c>
      <c r="D3" s="6">
        <v>5.3491119115722174</v>
      </c>
      <c r="E3" s="6">
        <v>0.10861576574200504</v>
      </c>
      <c r="F3" s="5" t="s">
        <v>23</v>
      </c>
      <c r="G3">
        <f>SUM(E2:E5)/4</f>
        <v>0.1323080938104384</v>
      </c>
      <c r="H3" t="s">
        <v>21</v>
      </c>
      <c r="I3">
        <f>G3-I2*G2</f>
        <v>1.7309863896196098E-2</v>
      </c>
      <c r="J3" t="s">
        <v>25</v>
      </c>
      <c r="K3">
        <f>SUM(V5:Y5)</f>
        <v>38.640072093586198</v>
      </c>
      <c r="P3" s="8" t="s">
        <v>27</v>
      </c>
      <c r="Q3">
        <f>R3*R4</f>
        <v>3.7980145488321617E-6</v>
      </c>
      <c r="R3">
        <f>1/K3</f>
        <v>2.5879868898225692E-2</v>
      </c>
      <c r="S3" t="s">
        <v>30</v>
      </c>
      <c r="T3" s="9">
        <f>T2*T2</f>
        <v>5.9290000000000002E-3</v>
      </c>
      <c r="U3" s="10"/>
      <c r="V3" s="4">
        <f>$G3-E2</f>
        <v>7.2411550476108297E-2</v>
      </c>
      <c r="W3" s="4">
        <f>$G3-E3</f>
        <v>2.3692328068433355E-2</v>
      </c>
      <c r="X3" s="4">
        <f>$G3-E4</f>
        <v>-2.4617504018061648E-2</v>
      </c>
      <c r="Y3" s="4">
        <f>$G3-E5</f>
        <v>-7.148637452647999E-2</v>
      </c>
    </row>
    <row r="4" spans="1:25" ht="19" x14ac:dyDescent="0.2">
      <c r="A4" s="2">
        <v>1</v>
      </c>
      <c r="B4" s="2">
        <v>3</v>
      </c>
      <c r="C4" s="6">
        <v>0.16957273055162278</v>
      </c>
      <c r="D4" s="6">
        <v>7.3727274152879474</v>
      </c>
      <c r="E4" s="6">
        <v>0.15692559782850005</v>
      </c>
      <c r="J4" t="s">
        <v>28</v>
      </c>
      <c r="K4">
        <f>K2*K2</f>
        <v>4.4388565207073421E-5</v>
      </c>
      <c r="L4">
        <f t="shared" ref="L4:N4" si="0">L2*L2</f>
        <v>1.5533523908349906E-8</v>
      </c>
      <c r="M4">
        <f t="shared" si="0"/>
        <v>1.9431801743534456E-4</v>
      </c>
      <c r="N4">
        <f t="shared" si="0"/>
        <v>5.478899579240168E-5</v>
      </c>
      <c r="R4">
        <f>SUM(K4:N4)/2</f>
        <v>1.4675555597936399E-4</v>
      </c>
      <c r="U4" s="10"/>
      <c r="V4">
        <f>V2*V3</f>
        <v>0.27930168540466749</v>
      </c>
      <c r="W4">
        <f t="shared" ref="W4:Y4" si="1">W2*W3</f>
        <v>3.3103213116720639E-2</v>
      </c>
      <c r="X4">
        <f t="shared" si="1"/>
        <v>1.5420482424451593E-2</v>
      </c>
      <c r="Y4">
        <f t="shared" si="1"/>
        <v>0.33083550303818371</v>
      </c>
    </row>
    <row r="5" spans="1:25" ht="19" x14ac:dyDescent="0.2">
      <c r="A5" s="2">
        <v>1</v>
      </c>
      <c r="B5" s="2">
        <v>4</v>
      </c>
      <c r="C5" s="6">
        <v>0.26160835153518414</v>
      </c>
      <c r="D5" s="6">
        <v>11.374276153703658</v>
      </c>
      <c r="E5" s="6">
        <v>0.20379446833691839</v>
      </c>
      <c r="K5">
        <v>1</v>
      </c>
      <c r="L5">
        <v>2</v>
      </c>
      <c r="M5">
        <v>3</v>
      </c>
      <c r="N5">
        <v>4</v>
      </c>
      <c r="U5" s="10"/>
      <c r="V5">
        <f>V2*V2</f>
        <v>14.877550030826063</v>
      </c>
      <c r="W5">
        <f t="shared" ref="W5:Y5" si="2">W2*W2</f>
        <v>1.9522023202384609</v>
      </c>
      <c r="X5">
        <f t="shared" si="2"/>
        <v>0.39238092477278164</v>
      </c>
      <c r="Y5">
        <f t="shared" si="2"/>
        <v>21.417938817748897</v>
      </c>
    </row>
    <row r="6" spans="1:25" ht="19" x14ac:dyDescent="0.2">
      <c r="A6" s="2">
        <v>2</v>
      </c>
      <c r="B6" s="2">
        <v>1</v>
      </c>
      <c r="C6" s="6">
        <v>4.8669676203734358E-2</v>
      </c>
      <c r="D6" s="6">
        <v>2.1160728784232332</v>
      </c>
      <c r="E6" s="6">
        <v>6.0005739518432862E-2</v>
      </c>
      <c r="F6" s="5" t="s">
        <v>22</v>
      </c>
      <c r="G6">
        <f>SUM(D6:D9)/4</f>
        <v>5.0100383646929423</v>
      </c>
      <c r="H6" t="s">
        <v>20</v>
      </c>
      <c r="I6">
        <f>SUM(V8:Y8)/SUM(V9:Y9)</f>
        <v>2.4662885573514089E-2</v>
      </c>
      <c r="J6" t="s">
        <v>24</v>
      </c>
      <c r="K6">
        <f>E6-(I7+I6*D6)</f>
        <v>-1.5918005077919795E-3</v>
      </c>
      <c r="L6">
        <f>E7-(I7+I6*D7)</f>
        <v>-5.236838061949689E-4</v>
      </c>
      <c r="M6">
        <f>E8-(I7+I6*D8)</f>
        <v>5.0993774467841535E-3</v>
      </c>
      <c r="N6">
        <f>E9-(I7+I6*D9)</f>
        <v>-2.9838931327972606E-3</v>
      </c>
      <c r="P6" s="8" t="s">
        <v>26</v>
      </c>
      <c r="Q6">
        <f>R6*R8</f>
        <v>2.929299930373689E-5</v>
      </c>
      <c r="R6">
        <f>(1/4+G6*G6/K7)</f>
        <v>1.553373117012308</v>
      </c>
      <c r="S6" t="s">
        <v>29</v>
      </c>
      <c r="T6" s="11">
        <v>0.10199999999999999</v>
      </c>
      <c r="V6" s="4">
        <f>$G6-D6</f>
        <v>2.8939654862697091</v>
      </c>
      <c r="W6" s="4">
        <f>$G6-D7</f>
        <v>0.95280065834859595</v>
      </c>
      <c r="X6" s="4">
        <f>$G6-D8</f>
        <v>-0.78838843928047098</v>
      </c>
      <c r="Y6" s="4">
        <f>$G6-D9</f>
        <v>-3.0583777053378363</v>
      </c>
    </row>
    <row r="7" spans="1:25" ht="19" x14ac:dyDescent="0.2">
      <c r="A7" s="2">
        <v>2</v>
      </c>
      <c r="B7" s="2">
        <v>2</v>
      </c>
      <c r="C7" s="6">
        <v>9.3316467245919979E-2</v>
      </c>
      <c r="D7" s="6">
        <v>4.0572377063443463</v>
      </c>
      <c r="E7" s="6">
        <v>0.10894858225037846</v>
      </c>
      <c r="F7" s="5" t="s">
        <v>23</v>
      </c>
      <c r="G7">
        <f>SUM(E6:E9)/4</f>
        <v>0.13297107966779373</v>
      </c>
      <c r="H7" t="s">
        <v>21</v>
      </c>
      <c r="I7">
        <f>G7-I6*G6</f>
        <v>9.4090767604560477E-3</v>
      </c>
      <c r="J7" t="s">
        <v>25</v>
      </c>
      <c r="K7">
        <f>SUM(V9:Y9)</f>
        <v>19.25809584996842</v>
      </c>
      <c r="P7" s="8" t="s">
        <v>27</v>
      </c>
      <c r="Q7">
        <f>R7*R8</f>
        <v>9.792074577888506E-7</v>
      </c>
      <c r="R7">
        <f>1/K7</f>
        <v>5.1926213670893111E-2</v>
      </c>
      <c r="S7" t="s">
        <v>30</v>
      </c>
      <c r="T7" s="9">
        <f>T6*T6</f>
        <v>1.0403999999999998E-2</v>
      </c>
      <c r="V7" s="4">
        <f>$G7-E6</f>
        <v>7.2965340149360874E-2</v>
      </c>
      <c r="W7" s="4">
        <f>$G7-E7</f>
        <v>2.4022497417415273E-2</v>
      </c>
      <c r="X7" s="4">
        <f>$G7-E8</f>
        <v>-2.4543311312239774E-2</v>
      </c>
      <c r="Y7" s="4">
        <f>$G7-E9</f>
        <v>-7.2444526254536401E-2</v>
      </c>
    </row>
    <row r="8" spans="1:25" ht="19" x14ac:dyDescent="0.2">
      <c r="A8" s="2">
        <v>2</v>
      </c>
      <c r="B8" s="2">
        <v>3</v>
      </c>
      <c r="C8" s="6">
        <v>0.13336381649138851</v>
      </c>
      <c r="D8" s="6">
        <v>5.7984268039734133</v>
      </c>
      <c r="E8" s="6">
        <v>0.1575143909800335</v>
      </c>
      <c r="J8" t="s">
        <v>28</v>
      </c>
      <c r="K8">
        <f>K6*K6</f>
        <v>2.5338288566068037E-6</v>
      </c>
      <c r="L8">
        <f t="shared" ref="L8:N8" si="3">L6*L6</f>
        <v>2.7424472887084976E-7</v>
      </c>
      <c r="M8">
        <f t="shared" si="3"/>
        <v>2.6003650344770873E-5</v>
      </c>
      <c r="N8">
        <f t="shared" si="3"/>
        <v>8.9036182279546501E-6</v>
      </c>
      <c r="R8">
        <f>SUM(K8:N8)/2</f>
        <v>1.8857671079101589E-5</v>
      </c>
      <c r="V8">
        <f>V6*V7</f>
        <v>0.21115917608617987</v>
      </c>
      <c r="W8">
        <f t="shared" ref="W8" si="4">W6*W7</f>
        <v>2.2888651354490717E-2</v>
      </c>
      <c r="X8">
        <f t="shared" ref="X8" si="5">X6*X7</f>
        <v>1.9349662900231445E-2</v>
      </c>
      <c r="Y8">
        <f t="shared" ref="Y8" si="6">Y6*Y7</f>
        <v>0.22156272397063567</v>
      </c>
    </row>
    <row r="9" spans="1:25" ht="19" x14ac:dyDescent="0.2">
      <c r="A9" s="2">
        <v>2</v>
      </c>
      <c r="B9" s="2">
        <v>4</v>
      </c>
      <c r="C9" s="6">
        <v>0.18557356961070789</v>
      </c>
      <c r="D9" s="6">
        <v>8.0684160700307785</v>
      </c>
      <c r="E9" s="6">
        <v>0.20541560592233013</v>
      </c>
      <c r="K9">
        <v>1</v>
      </c>
      <c r="L9">
        <v>2</v>
      </c>
      <c r="M9">
        <v>3</v>
      </c>
      <c r="N9">
        <v>4</v>
      </c>
      <c r="V9">
        <f>V6*V6</f>
        <v>8.3750362357202732</v>
      </c>
      <c r="W9">
        <f t="shared" ref="W9:Y9" si="7">W6*W6</f>
        <v>0.90782909454951788</v>
      </c>
      <c r="X9">
        <f t="shared" si="7"/>
        <v>0.62155633119109688</v>
      </c>
      <c r="Y9">
        <f t="shared" si="7"/>
        <v>9.3536741885075294</v>
      </c>
    </row>
    <row r="10" spans="1:25" ht="19" x14ac:dyDescent="0.2">
      <c r="A10" s="2">
        <v>3</v>
      </c>
      <c r="B10" s="2">
        <v>1</v>
      </c>
      <c r="C10" s="6">
        <v>3.713567252702947E-2</v>
      </c>
      <c r="D10" s="6">
        <v>1.6145944576969335</v>
      </c>
      <c r="E10" s="6">
        <v>6.0076569835011515E-2</v>
      </c>
      <c r="F10" s="5" t="s">
        <v>22</v>
      </c>
      <c r="G10">
        <f>SUM(D10:D13)/4</f>
        <v>3.5927798687766312</v>
      </c>
      <c r="H10" t="s">
        <v>20</v>
      </c>
      <c r="I10">
        <f>SUM(V12:Y12)/SUM(V13:Y13)</f>
        <v>3.8305412300204116E-2</v>
      </c>
      <c r="J10" t="s">
        <v>24</v>
      </c>
      <c r="K10">
        <f>E10-(I11+I10*D10)</f>
        <v>2.3321715898485182E-3</v>
      </c>
      <c r="L10">
        <f>E11-(I11+I10*D11)</f>
        <v>-7.332405727853028E-3</v>
      </c>
      <c r="M10">
        <f>E12-(I11+I10*D12)</f>
        <v>5.7687174679242614E-3</v>
      </c>
      <c r="N10">
        <f>E13-(I11+I10*D13)</f>
        <v>-7.6848332991974466E-4</v>
      </c>
      <c r="P10" s="8" t="s">
        <v>26</v>
      </c>
      <c r="Q10">
        <f>R10*R12</f>
        <v>8.6012381086623306E-5</v>
      </c>
      <c r="R10">
        <f>(1/4+G10*G10/K11)</f>
        <v>1.8483003477394446</v>
      </c>
      <c r="S10" t="s">
        <v>29</v>
      </c>
      <c r="T10" s="10">
        <v>0.127</v>
      </c>
      <c r="V10" s="4">
        <f>$G10-D10</f>
        <v>1.9781854110796977</v>
      </c>
      <c r="W10" s="4">
        <f>$G10-D11</f>
        <v>0.44392156607573297</v>
      </c>
      <c r="X10" s="4">
        <f>$G10-D12</f>
        <v>-0.49253552340780971</v>
      </c>
      <c r="Y10" s="4">
        <f>$G10-D13</f>
        <v>-1.9295714537476201</v>
      </c>
    </row>
    <row r="11" spans="1:25" ht="19" x14ac:dyDescent="0.2">
      <c r="A11" s="2">
        <v>3</v>
      </c>
      <c r="B11" s="2">
        <v>2</v>
      </c>
      <c r="C11" s="6">
        <v>7.2423740962120661E-2</v>
      </c>
      <c r="D11" s="6">
        <v>3.1488583027008983</v>
      </c>
      <c r="E11" s="6">
        <v>0.1091826016774833</v>
      </c>
      <c r="F11" s="5" t="s">
        <v>23</v>
      </c>
      <c r="G11">
        <f>SUM(E10:E13)/4</f>
        <v>0.13351960602281959</v>
      </c>
      <c r="H11" t="s">
        <v>21</v>
      </c>
      <c r="I11">
        <f>G11-I10*G10</f>
        <v>-4.1033081545425176E-3</v>
      </c>
      <c r="J11" t="s">
        <v>25</v>
      </c>
      <c r="K11">
        <f>SUM(V13:Y13)</f>
        <v>8.0761211143719933</v>
      </c>
      <c r="P11" s="8" t="s">
        <v>27</v>
      </c>
      <c r="Q11">
        <f>R11*R12</f>
        <v>5.7621638294787299E-6</v>
      </c>
      <c r="R11">
        <f>1/K11</f>
        <v>0.12382181815233474</v>
      </c>
      <c r="S11" t="s">
        <v>30</v>
      </c>
      <c r="T11" s="9">
        <f>T10*T10</f>
        <v>1.6129000000000001E-2</v>
      </c>
      <c r="V11" s="4">
        <f>$G11-E10</f>
        <v>7.3443036187808078E-2</v>
      </c>
      <c r="W11" s="4">
        <f>$G11-E11</f>
        <v>2.4337004345336297E-2</v>
      </c>
      <c r="X11" s="4">
        <f>$G11-E12</f>
        <v>-2.4635493764557231E-2</v>
      </c>
      <c r="Y11" s="4">
        <f>$G11-E13</f>
        <v>-7.314454676858706E-2</v>
      </c>
    </row>
    <row r="12" spans="1:25" ht="19" x14ac:dyDescent="0.2">
      <c r="A12" s="2">
        <v>3</v>
      </c>
      <c r="B12" s="2">
        <v>3</v>
      </c>
      <c r="C12" s="6">
        <v>9.396225402024215E-2</v>
      </c>
      <c r="D12" s="6">
        <v>4.085315392184441</v>
      </c>
      <c r="E12" s="6">
        <v>0.15815509978737682</v>
      </c>
      <c r="J12" t="s">
        <v>28</v>
      </c>
      <c r="K12">
        <f>K10*K10</f>
        <v>5.4390243244965651E-6</v>
      </c>
      <c r="L12">
        <f t="shared" ref="L12:N12" si="8">L10*L10</f>
        <v>5.3764173757851893E-5</v>
      </c>
      <c r="M12">
        <f t="shared" si="8"/>
        <v>3.3278101224734502E-5</v>
      </c>
      <c r="N12">
        <f t="shared" si="8"/>
        <v>5.9056662836453913E-7</v>
      </c>
      <c r="R12">
        <f>SUM(K12:N12)/2</f>
        <v>4.6535932967723755E-5</v>
      </c>
      <c r="V12">
        <f>V10*V11</f>
        <v>0.14528394273212022</v>
      </c>
      <c r="W12">
        <f t="shared" ref="W12" si="9">W10*W11</f>
        <v>1.0803721082573606E-2</v>
      </c>
      <c r="X12">
        <f t="shared" ref="X12" si="10">X10*X11</f>
        <v>1.2133855815736028E-2</v>
      </c>
      <c r="Y12">
        <f t="shared" ref="Y12" si="11">Y10*Y11</f>
        <v>0.14113762944197331</v>
      </c>
    </row>
    <row r="13" spans="1:25" ht="19" x14ac:dyDescent="0.2">
      <c r="A13" s="2">
        <v>3</v>
      </c>
      <c r="B13" s="2">
        <v>4</v>
      </c>
      <c r="C13" s="6">
        <v>0.12701408041805778</v>
      </c>
      <c r="D13" s="6">
        <v>5.5223513225242513</v>
      </c>
      <c r="E13" s="6">
        <v>0.20666415279140665</v>
      </c>
      <c r="K13">
        <v>1</v>
      </c>
      <c r="L13">
        <v>2</v>
      </c>
      <c r="M13">
        <v>3</v>
      </c>
      <c r="N13">
        <v>4</v>
      </c>
      <c r="V13">
        <f>V10*V10</f>
        <v>3.9132175206085527</v>
      </c>
      <c r="W13">
        <f t="shared" ref="W13:Y13" si="12">W10*W10</f>
        <v>0.19706635682713136</v>
      </c>
      <c r="X13">
        <f t="shared" si="12"/>
        <v>0.24259124181860506</v>
      </c>
      <c r="Y13">
        <f t="shared" si="12"/>
        <v>3.7232459951177037</v>
      </c>
    </row>
    <row r="14" spans="1:25" ht="19" x14ac:dyDescent="0.2">
      <c r="A14" s="2">
        <v>4</v>
      </c>
      <c r="B14" s="2">
        <v>1</v>
      </c>
      <c r="C14" s="6">
        <v>2.9067594615020471E-2</v>
      </c>
      <c r="D14" s="6">
        <v>1.263808461522629</v>
      </c>
      <c r="E14" s="6">
        <v>6.0126115901469164E-2</v>
      </c>
      <c r="F14" s="5" t="s">
        <v>22</v>
      </c>
      <c r="G14">
        <f>SUM(D14:D17)/4</f>
        <v>2.7877111045167098</v>
      </c>
      <c r="H14" t="s">
        <v>20</v>
      </c>
      <c r="I14">
        <f>SUM(V16:Y16)/SUM(V17:Y17)</f>
        <v>4.638691158238703E-2</v>
      </c>
      <c r="J14" t="s">
        <v>24</v>
      </c>
      <c r="K14">
        <f>E14-(I15+I14*D14)</f>
        <v>-2.9902868943269753E-3</v>
      </c>
      <c r="L14">
        <f>E15-(I15+I14*D15)</f>
        <v>-7.217329997746269E-4</v>
      </c>
      <c r="M14">
        <f>E16-(I15+I14*D16)</f>
        <v>8.3928115660896752E-3</v>
      </c>
      <c r="N14">
        <f>E17-(I15+I14*D17)</f>
        <v>-4.6807916719880938E-3</v>
      </c>
      <c r="P14" s="8" t="s">
        <v>26</v>
      </c>
      <c r="Q14">
        <f>R14*R16</f>
        <v>8.4162450176826031E-5</v>
      </c>
      <c r="R14">
        <f>(1/4+G14*G14/K15)</f>
        <v>1.653294434859331</v>
      </c>
      <c r="S14" t="s">
        <v>29</v>
      </c>
      <c r="T14" s="10">
        <v>0.152</v>
      </c>
      <c r="V14" s="4">
        <f>$G14-D14</f>
        <v>1.5239026429940807</v>
      </c>
      <c r="W14" s="4">
        <f>$G14-D15</f>
        <v>0.51041704387854914</v>
      </c>
      <c r="X14" s="4">
        <f>$G14-D16</f>
        <v>-0.35161964448300909</v>
      </c>
      <c r="Y14" s="4">
        <f>$G14-D17</f>
        <v>-1.6827000423896212</v>
      </c>
    </row>
    <row r="15" spans="1:25" ht="19" x14ac:dyDescent="0.2">
      <c r="A15" s="2">
        <v>4</v>
      </c>
      <c r="B15" s="2">
        <v>2</v>
      </c>
      <c r="C15" s="6">
        <v>5.2377763394677694E-2</v>
      </c>
      <c r="D15" s="6">
        <v>2.2772940606381606</v>
      </c>
      <c r="E15" s="6">
        <v>0.10940713667221623</v>
      </c>
      <c r="F15" s="5" t="s">
        <v>23</v>
      </c>
      <c r="G15">
        <f>SUM(E14:E17)/4</f>
        <v>0.13380553995652847</v>
      </c>
      <c r="H15" t="s">
        <v>21</v>
      </c>
      <c r="I15">
        <f>G15-I14*G14</f>
        <v>4.4922314340733738E-3</v>
      </c>
      <c r="J15" t="s">
        <v>25</v>
      </c>
      <c r="K15">
        <f>SUM(V17:Y17)</f>
        <v>5.5379206310504525</v>
      </c>
      <c r="P15" s="8" t="s">
        <v>27</v>
      </c>
      <c r="Q15">
        <f>R15*R16</f>
        <v>9.1922417886365633E-6</v>
      </c>
      <c r="R15">
        <f>1/K15</f>
        <v>0.18057319102645147</v>
      </c>
      <c r="S15" t="s">
        <v>30</v>
      </c>
      <c r="T15" s="9">
        <f>T14*T14</f>
        <v>2.3104E-2</v>
      </c>
      <c r="V15" s="4">
        <f>$G15-E14</f>
        <v>7.3679424055059312E-2</v>
      </c>
      <c r="W15" s="4">
        <f>$G15-E15</f>
        <v>2.4398403284312239E-2</v>
      </c>
      <c r="X15" s="4">
        <f>$G15-E16</f>
        <v>-2.4703360925353385E-2</v>
      </c>
      <c r="Y15" s="4">
        <f>$G15-E17</f>
        <v>-7.337446641401818E-2</v>
      </c>
    </row>
    <row r="16" spans="1:25" ht="19" x14ac:dyDescent="0.2">
      <c r="A16" s="2">
        <v>4</v>
      </c>
      <c r="B16" s="2">
        <v>3</v>
      </c>
      <c r="C16" s="6">
        <v>7.2204607226993525E-2</v>
      </c>
      <c r="D16" s="6">
        <v>3.1393307489997189</v>
      </c>
      <c r="E16" s="6">
        <v>0.15850890088188185</v>
      </c>
      <c r="J16" t="s">
        <v>28</v>
      </c>
      <c r="K16">
        <f>K14*K14</f>
        <v>8.9418157103836671E-6</v>
      </c>
      <c r="L16">
        <f t="shared" ref="L16:N16" si="13">L14*L14</f>
        <v>5.2089852296368156E-7</v>
      </c>
      <c r="M16">
        <f t="shared" si="13"/>
        <v>7.0439285983888624E-5</v>
      </c>
      <c r="N16">
        <f t="shared" si="13"/>
        <v>2.1909810676553095E-5</v>
      </c>
      <c r="R16">
        <f>SUM(K16:N16)/2</f>
        <v>5.0905905446894532E-5</v>
      </c>
      <c r="V16">
        <f>V14*V15</f>
        <v>0.11228026905178654</v>
      </c>
      <c r="W16">
        <f t="shared" ref="W16" si="14">W14*W15</f>
        <v>1.2453360879735339E-2</v>
      </c>
      <c r="X16">
        <f t="shared" ref="X16" si="15">X14*X15</f>
        <v>8.6861869861082162E-3</v>
      </c>
      <c r="Y16">
        <f t="shared" ref="Y16" si="16">Y14*Y15</f>
        <v>0.12346721774518424</v>
      </c>
    </row>
    <row r="17" spans="1:25" ht="19" x14ac:dyDescent="0.2">
      <c r="A17" s="2">
        <v>4</v>
      </c>
      <c r="B17" s="2">
        <v>4</v>
      </c>
      <c r="C17" s="6">
        <v>0.10281945637884563</v>
      </c>
      <c r="D17" s="6">
        <v>4.470411146906331</v>
      </c>
      <c r="E17" s="6">
        <v>0.20718000637054665</v>
      </c>
      <c r="V17">
        <f>V14*V14</f>
        <v>2.3222792653243447</v>
      </c>
      <c r="W17">
        <f t="shared" ref="W17:Y17" si="17">W14*W14</f>
        <v>0.26052555868171673</v>
      </c>
      <c r="X17">
        <f t="shared" si="17"/>
        <v>0.1236363743863577</v>
      </c>
      <c r="Y17">
        <f t="shared" si="17"/>
        <v>2.8314794326580333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E74C-0393-AB41-ACDA-DC323CE6D986}">
  <dimension ref="A1:Y17"/>
  <sheetViews>
    <sheetView tabSelected="1" topLeftCell="F1" zoomScale="125" workbookViewId="0">
      <selection activeCell="Q7" sqref="Q7"/>
    </sheetView>
  </sheetViews>
  <sheetFormatPr baseColWidth="10" defaultRowHeight="16" x14ac:dyDescent="0.2"/>
  <cols>
    <col min="3" max="3" width="19.5" customWidth="1"/>
    <col min="4" max="4" width="19.6640625" customWidth="1"/>
    <col min="5" max="5" width="20.83203125" customWidth="1"/>
    <col min="7" max="7" width="11" bestFit="1" customWidth="1"/>
    <col min="9" max="9" width="20.83203125" customWidth="1"/>
    <col min="11" max="11" width="12.33203125" bestFit="1" customWidth="1"/>
    <col min="12" max="14" width="11" bestFit="1" customWidth="1"/>
    <col min="16" max="16" width="14.33203125" customWidth="1"/>
    <col min="17" max="17" width="15.33203125" customWidth="1"/>
    <col min="18" max="18" width="13.5" bestFit="1" customWidth="1"/>
    <col min="19" max="19" width="19.1640625" customWidth="1"/>
    <col min="20" max="20" width="15.83203125" style="9" customWidth="1"/>
    <col min="21" max="21" width="22.6640625" style="9" customWidth="1"/>
    <col min="22" max="22" width="12.83203125" bestFit="1" customWidth="1"/>
    <col min="24" max="25" width="13.33203125" bestFit="1" customWidth="1"/>
  </cols>
  <sheetData>
    <row r="1" spans="1:25" ht="19" x14ac:dyDescent="0.2">
      <c r="A1" s="1" t="s">
        <v>0</v>
      </c>
      <c r="B1" s="1" t="s">
        <v>1</v>
      </c>
      <c r="C1" s="5" t="s">
        <v>5</v>
      </c>
      <c r="D1" s="5" t="s">
        <v>30</v>
      </c>
      <c r="E1" s="5" t="s">
        <v>33</v>
      </c>
      <c r="K1">
        <v>1</v>
      </c>
      <c r="L1">
        <v>2</v>
      </c>
      <c r="M1">
        <v>3</v>
      </c>
      <c r="N1">
        <v>4</v>
      </c>
      <c r="V1" t="s">
        <v>16</v>
      </c>
      <c r="W1" t="s">
        <v>17</v>
      </c>
      <c r="X1" t="s">
        <v>18</v>
      </c>
      <c r="Y1" t="s">
        <v>19</v>
      </c>
    </row>
    <row r="2" spans="1:25" ht="19" x14ac:dyDescent="0.2">
      <c r="A2" s="2">
        <v>1</v>
      </c>
      <c r="B2" s="2">
        <v>1</v>
      </c>
      <c r="C2" s="6">
        <v>6.6451174999169374E-2</v>
      </c>
      <c r="D2" s="9">
        <v>5.9290000000000002E-3</v>
      </c>
      <c r="E2">
        <v>1.704605732589597E-2</v>
      </c>
      <c r="F2" s="5" t="s">
        <v>22</v>
      </c>
      <c r="G2">
        <f>SUM(D2:D5)/4</f>
        <v>1.3891500000000001E-2</v>
      </c>
      <c r="H2" t="s">
        <v>20</v>
      </c>
      <c r="I2">
        <f>SUM(V4:Y4)/SUM(V5:Y5)</f>
        <v>1.7607932639239614</v>
      </c>
      <c r="J2" t="s">
        <v>24</v>
      </c>
      <c r="K2">
        <f>E2-(I3+I2*D2)</f>
        <v>-5.33943005609782E-4</v>
      </c>
      <c r="L2">
        <f>E3-(I3+I2*D3)</f>
        <v>-7.9666461405138861E-4</v>
      </c>
      <c r="M2">
        <f>E4-(I3+I2*D4)</f>
        <v>2.7653206766739546E-3</v>
      </c>
      <c r="N2">
        <f>E5-(I3+I2*D5)</f>
        <v>-1.4347130570127598E-3</v>
      </c>
      <c r="P2" s="8" t="s">
        <v>26</v>
      </c>
      <c r="Q2">
        <f>R2*R4</f>
        <v>7.524868039607993E-6</v>
      </c>
      <c r="R2">
        <f>(1/4+G2*G2/K3)</f>
        <v>1.4164231336771125</v>
      </c>
      <c r="S2" s="8" t="s">
        <v>29</v>
      </c>
      <c r="T2" s="11">
        <v>7.6999999999999999E-2</v>
      </c>
      <c r="U2" s="10"/>
      <c r="V2" s="4">
        <f>$G2-D2</f>
        <v>7.9625000000000008E-3</v>
      </c>
      <c r="W2" s="4">
        <f>$G2-D3</f>
        <v>3.4875000000000028E-3</v>
      </c>
      <c r="X2" s="4">
        <f>$G2-D4</f>
        <v>-2.2374999999999999E-3</v>
      </c>
      <c r="Y2" s="4">
        <f>$G2-D5</f>
        <v>-9.2124999999999985E-3</v>
      </c>
    </row>
    <row r="3" spans="1:25" ht="19" x14ac:dyDescent="0.2">
      <c r="A3" s="2">
        <v>1</v>
      </c>
      <c r="B3" s="2">
        <v>2</v>
      </c>
      <c r="C3" s="6">
        <v>0.12302957396616099</v>
      </c>
      <c r="D3" s="9">
        <v>1.0403999999999998E-2</v>
      </c>
      <c r="E3">
        <v>2.4662885573514089E-2</v>
      </c>
      <c r="F3" s="5" t="s">
        <v>23</v>
      </c>
      <c r="G3">
        <f>SUM(E2:E5)/4</f>
        <v>3.16003166955003E-2</v>
      </c>
      <c r="H3" t="s">
        <v>21</v>
      </c>
      <c r="I3">
        <f>G3-I2*G2</f>
        <v>7.1402570697005861E-3</v>
      </c>
      <c r="J3" t="s">
        <v>25</v>
      </c>
      <c r="K3">
        <f>SUM(V5:Y5)</f>
        <v>1.6544062500000001E-4</v>
      </c>
      <c r="P3" s="8" t="s">
        <v>27</v>
      </c>
      <c r="Q3">
        <f>R3*R4</f>
        <v>3.2111730843995101E-2</v>
      </c>
      <c r="R3">
        <f>1/K3</f>
        <v>6044.4645926597532</v>
      </c>
      <c r="S3" t="s">
        <v>30</v>
      </c>
      <c r="T3" s="9">
        <f>T2*T2</f>
        <v>5.9290000000000002E-3</v>
      </c>
      <c r="U3" s="10"/>
      <c r="V3" s="4">
        <f>$G3-E2</f>
        <v>1.455425936960433E-2</v>
      </c>
      <c r="W3" s="4">
        <f>$G3-E3</f>
        <v>6.9374311219862102E-3</v>
      </c>
      <c r="X3" s="4">
        <f>$G3-E4</f>
        <v>-6.705095604703816E-3</v>
      </c>
      <c r="Y3" s="4">
        <f>$G3-E5</f>
        <v>-1.4786594886886731E-2</v>
      </c>
    </row>
    <row r="4" spans="1:25" ht="19" x14ac:dyDescent="0.2">
      <c r="A4" s="2">
        <v>1</v>
      </c>
      <c r="B4" s="2">
        <v>3</v>
      </c>
      <c r="C4" s="6">
        <v>0.16957273055162278</v>
      </c>
      <c r="D4" s="9">
        <v>1.6129000000000001E-2</v>
      </c>
      <c r="E4">
        <v>3.8305412300204116E-2</v>
      </c>
      <c r="J4" t="s">
        <v>28</v>
      </c>
      <c r="K4">
        <f>K2*K2</f>
        <v>2.8509513323960768E-7</v>
      </c>
      <c r="L4">
        <f t="shared" ref="L4:N4" si="0">L2*L2</f>
        <v>6.3467450728164798E-7</v>
      </c>
      <c r="M4">
        <f t="shared" si="0"/>
        <v>7.6469984448404986E-6</v>
      </c>
      <c r="N4">
        <f t="shared" si="0"/>
        <v>2.0584015559628985E-6</v>
      </c>
      <c r="R4">
        <f>SUM(K4:N4)/2</f>
        <v>5.3125848206623266E-6</v>
      </c>
      <c r="U4" s="10"/>
      <c r="V4">
        <f>V2*V3</f>
        <v>1.1588829023047449E-4</v>
      </c>
      <c r="W4">
        <f t="shared" ref="W4:Y4" si="1">W2*W3</f>
        <v>2.4194291037926929E-5</v>
      </c>
      <c r="X4">
        <f t="shared" si="1"/>
        <v>1.5002651415524788E-5</v>
      </c>
      <c r="Y4">
        <f t="shared" si="1"/>
        <v>1.3622150539544398E-4</v>
      </c>
    </row>
    <row r="5" spans="1:25" ht="19" x14ac:dyDescent="0.2">
      <c r="A5" s="2">
        <v>1</v>
      </c>
      <c r="B5" s="2">
        <v>4</v>
      </c>
      <c r="C5" s="6">
        <v>0.26160835153518414</v>
      </c>
      <c r="D5" s="9">
        <v>2.3104E-2</v>
      </c>
      <c r="E5">
        <v>4.638691158238703E-2</v>
      </c>
      <c r="K5">
        <v>1</v>
      </c>
      <c r="L5">
        <v>2</v>
      </c>
      <c r="M5">
        <v>3</v>
      </c>
      <c r="N5">
        <v>4</v>
      </c>
      <c r="Q5">
        <f>SQRT(Q3*4)/4</f>
        <v>8.9598731637221152E-2</v>
      </c>
      <c r="U5" s="10"/>
      <c r="V5">
        <f>V2*V2</f>
        <v>6.3401406250000015E-5</v>
      </c>
      <c r="W5">
        <f t="shared" ref="W5:Y5" si="2">W2*W2</f>
        <v>1.2162656250000019E-5</v>
      </c>
      <c r="X5">
        <f t="shared" si="2"/>
        <v>5.0064062499999996E-6</v>
      </c>
      <c r="Y5">
        <f t="shared" si="2"/>
        <v>8.4870156249999978E-5</v>
      </c>
    </row>
    <row r="6" spans="1:25" ht="19" x14ac:dyDescent="0.2">
      <c r="A6" s="2"/>
      <c r="B6" s="2"/>
      <c r="C6" s="6"/>
      <c r="D6" s="5" t="s">
        <v>31</v>
      </c>
      <c r="E6" s="5" t="s">
        <v>32</v>
      </c>
      <c r="F6" s="5"/>
      <c r="P6" s="8"/>
      <c r="Q6">
        <f>SQRT(Q2*4)</f>
        <v>5.4862985845132396E-3</v>
      </c>
      <c r="T6" s="11"/>
      <c r="V6" s="4"/>
      <c r="W6" s="4"/>
      <c r="X6" s="4"/>
      <c r="Y6" s="4"/>
    </row>
    <row r="7" spans="1:25" ht="19" x14ac:dyDescent="0.2">
      <c r="A7" s="2"/>
      <c r="B7" s="2"/>
      <c r="C7" s="6"/>
      <c r="D7" s="6"/>
      <c r="E7" s="6"/>
      <c r="F7" s="5"/>
      <c r="P7" s="8"/>
      <c r="V7" s="4"/>
      <c r="W7" s="4"/>
      <c r="X7" s="4"/>
      <c r="Y7" s="4"/>
    </row>
    <row r="8" spans="1:25" ht="19" x14ac:dyDescent="0.2">
      <c r="A8" s="2"/>
      <c r="B8" s="2"/>
      <c r="C8" s="6"/>
      <c r="D8" s="6"/>
      <c r="E8" s="6"/>
      <c r="I8">
        <f>4*I2*D5+I3-E5</f>
        <v>0.12347881576611036</v>
      </c>
    </row>
    <row r="9" spans="1:25" ht="19" x14ac:dyDescent="0.2">
      <c r="A9" s="2"/>
      <c r="B9" s="2"/>
      <c r="C9" s="6"/>
      <c r="D9" s="6"/>
      <c r="E9" s="6"/>
    </row>
    <row r="10" spans="1:25" ht="19" x14ac:dyDescent="0.2">
      <c r="A10" s="2"/>
      <c r="B10" s="2"/>
      <c r="C10" s="6"/>
      <c r="D10" s="6"/>
      <c r="E10" s="6"/>
      <c r="F10" s="5"/>
      <c r="P10" s="8"/>
      <c r="T10" s="10"/>
      <c r="V10" s="4"/>
      <c r="W10" s="4"/>
      <c r="X10" s="4"/>
      <c r="Y10" s="4"/>
    </row>
    <row r="11" spans="1:25" ht="19" x14ac:dyDescent="0.2">
      <c r="A11" s="2"/>
      <c r="B11" s="2"/>
      <c r="C11" s="6"/>
      <c r="D11" s="6"/>
      <c r="E11" s="6"/>
      <c r="F11" s="5"/>
      <c r="P11" s="8"/>
      <c r="V11" s="4"/>
      <c r="W11" s="4"/>
      <c r="X11" s="4"/>
      <c r="Y11" s="4"/>
    </row>
    <row r="12" spans="1:25" ht="19" x14ac:dyDescent="0.2">
      <c r="A12" s="2"/>
      <c r="B12" s="2"/>
      <c r="C12" s="6"/>
      <c r="D12" s="6"/>
      <c r="E12" s="6"/>
    </row>
    <row r="13" spans="1:25" ht="19" x14ac:dyDescent="0.2">
      <c r="A13" s="2"/>
      <c r="B13" s="2"/>
      <c r="C13" s="6"/>
      <c r="D13" s="6"/>
      <c r="E13" s="6"/>
    </row>
    <row r="14" spans="1:25" ht="19" x14ac:dyDescent="0.2">
      <c r="A14" s="2"/>
      <c r="B14" s="2"/>
      <c r="C14" s="6"/>
      <c r="D14" s="6"/>
      <c r="E14" s="6"/>
      <c r="F14" s="5"/>
      <c r="P14" s="8"/>
      <c r="T14" s="10"/>
      <c r="V14" s="4"/>
      <c r="W14" s="4"/>
      <c r="X14" s="4"/>
      <c r="Y14" s="4"/>
    </row>
    <row r="15" spans="1:25" ht="19" x14ac:dyDescent="0.2">
      <c r="A15" s="2"/>
      <c r="B15" s="2"/>
      <c r="C15" s="6"/>
      <c r="D15" s="6"/>
      <c r="E15" s="6"/>
      <c r="F15" s="5"/>
      <c r="P15" s="8"/>
      <c r="V15" s="4"/>
      <c r="W15" s="4"/>
      <c r="X15" s="4"/>
      <c r="Y15" s="4"/>
    </row>
    <row r="16" spans="1:25" ht="19" x14ac:dyDescent="0.2">
      <c r="A16" s="2"/>
      <c r="B16" s="2"/>
      <c r="C16" s="6"/>
      <c r="D16" s="6"/>
      <c r="E16" s="6"/>
    </row>
    <row r="17" spans="1:5" ht="19" x14ac:dyDescent="0.2">
      <c r="A17" s="2"/>
      <c r="B17" s="2"/>
      <c r="C17" s="6"/>
      <c r="D17" s="6"/>
      <c r="E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2026-09-05T12:34:25Z</dcterms:created>
  <dcterms:modified xsi:type="dcterms:W3CDTF">2026-09-20T17:10:33Z</dcterms:modified>
</cp:coreProperties>
</file>